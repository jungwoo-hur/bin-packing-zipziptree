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root_/Desktop/CS 165/"/>
    </mc:Choice>
  </mc:AlternateContent>
  <xr:revisionPtr revIDLastSave="0" documentId="13_ncr:1_{DA977ED1-924D-BC43-B9B8-AF957A3CA1D1}" xr6:coauthVersionLast="47" xr6:coauthVersionMax="47" xr10:uidLastSave="{00000000-0000-0000-0000-000000000000}"/>
  <bookViews>
    <workbookView xWindow="240" yWindow="740" windowWidth="35360" windowHeight="19540" xr2:uid="{646237AF-9354-4ED2-A77F-A3E32F039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2" i="1" l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91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69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25" i="1"/>
  <c r="X5" i="1"/>
  <c r="X4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3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3" i="1"/>
  <c r="X47" i="1"/>
  <c r="V50" i="1"/>
  <c r="V76" i="1"/>
  <c r="V74" i="1"/>
  <c r="V73" i="1"/>
  <c r="V72" i="1"/>
  <c r="V71" i="1"/>
  <c r="V70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91" i="1"/>
  <c r="V87" i="1"/>
  <c r="V86" i="1"/>
  <c r="V75" i="1"/>
  <c r="V77" i="1"/>
  <c r="V78" i="1"/>
  <c r="V79" i="1"/>
  <c r="V80" i="1"/>
  <c r="V81" i="1"/>
  <c r="V82" i="1"/>
  <c r="V83" i="1"/>
  <c r="V84" i="1"/>
  <c r="V85" i="1"/>
  <c r="V69" i="1"/>
  <c r="V49" i="1"/>
  <c r="Y49" i="1"/>
  <c r="V48" i="1"/>
  <c r="V47" i="1"/>
  <c r="Y47" i="1"/>
  <c r="V42" i="1"/>
  <c r="V43" i="1"/>
  <c r="Y42" i="1"/>
  <c r="V36" i="1"/>
  <c r="V35" i="1"/>
  <c r="Y36" i="1"/>
  <c r="V34" i="1"/>
  <c r="V33" i="1"/>
  <c r="V31" i="1"/>
  <c r="Y31" i="1" s="1"/>
  <c r="V32" i="1"/>
  <c r="Y32" i="1" s="1"/>
  <c r="V30" i="1"/>
  <c r="V29" i="1"/>
  <c r="V28" i="1"/>
  <c r="V27" i="1"/>
  <c r="V26" i="1"/>
  <c r="V25" i="1"/>
  <c r="V21" i="1"/>
  <c r="V20" i="1"/>
  <c r="V18" i="1"/>
  <c r="V17" i="1"/>
  <c r="V16" i="1"/>
  <c r="V15" i="1"/>
  <c r="V14" i="1"/>
  <c r="V19" i="1"/>
  <c r="V13" i="1"/>
  <c r="V11" i="1"/>
  <c r="V9" i="1"/>
  <c r="V8" i="1"/>
  <c r="V6" i="1"/>
  <c r="V5" i="1"/>
  <c r="V4" i="1"/>
  <c r="V3" i="1"/>
  <c r="V7" i="1"/>
  <c r="V10" i="1"/>
  <c r="V12" i="1"/>
  <c r="Y59" i="1"/>
  <c r="X28" i="1"/>
  <c r="Y50" i="1"/>
  <c r="Y51" i="1"/>
  <c r="Y52" i="1"/>
  <c r="Y53" i="1"/>
  <c r="Y60" i="1"/>
  <c r="Y61" i="1"/>
  <c r="Y62" i="1"/>
  <c r="Y63" i="1"/>
  <c r="Y29" i="1"/>
  <c r="Y30" i="1"/>
  <c r="Y33" i="1"/>
  <c r="Y34" i="1"/>
  <c r="Y35" i="1"/>
  <c r="Y37" i="1"/>
  <c r="Y38" i="1"/>
  <c r="Y39" i="1"/>
  <c r="Y40" i="1"/>
  <c r="Y41" i="1"/>
  <c r="Y43" i="1"/>
  <c r="X26" i="1"/>
  <c r="X27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37" i="1"/>
  <c r="V38" i="1"/>
  <c r="V39" i="1"/>
  <c r="V40" i="1"/>
  <c r="V41" i="1"/>
</calcChain>
</file>

<file path=xl/sharedStrings.xml><?xml version="1.0" encoding="utf-8"?>
<sst xmlns="http://schemas.openxmlformats.org/spreadsheetml/2006/main" count="45" uniqueCount="20">
  <si>
    <t>Size</t>
  </si>
  <si>
    <t>Free Space</t>
  </si>
  <si>
    <t>Next Fit</t>
  </si>
  <si>
    <t>First Fit</t>
  </si>
  <si>
    <t>Best Fit</t>
  </si>
  <si>
    <t>First Fit Decreasing</t>
  </si>
  <si>
    <t>Best Fit Decreasing</t>
  </si>
  <si>
    <t>Next Fit (log scale)</t>
  </si>
  <si>
    <t>Size (log scale)</t>
  </si>
  <si>
    <t>Free Space (log Scale)</t>
  </si>
  <si>
    <t>Next Fit AVG</t>
  </si>
  <si>
    <t>First Fit AVG</t>
  </si>
  <si>
    <t>Best Fit AVG</t>
  </si>
  <si>
    <t>First Fit Decreasing AVG</t>
  </si>
  <si>
    <t>Best Fit Decreasing (log scale)</t>
  </si>
  <si>
    <t>W(A) (log scale)</t>
  </si>
  <si>
    <t>First Fit Decreasing (log scale)</t>
  </si>
  <si>
    <t>Best Fit (log scale)</t>
  </si>
  <si>
    <t>First Fit (log scale)</t>
  </si>
  <si>
    <t>Free Space (log 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</si>
</sst>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 applyAlignment="1">
      <alignment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ea"/>
                <a:ea typeface="+mj-ea"/>
                <a:cs typeface="+mn-cs"/>
              </a:defRPr>
            </a:pPr>
            <a:r>
              <a:rPr lang="en-US" b="1">
                <a:latin typeface="+mj-ea"/>
                <a:ea typeface="+mj-ea"/>
              </a:rPr>
              <a:t>Next Fit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ea"/>
              <a:ea typeface="+mj-ea"/>
              <a:cs typeface="+mn-cs"/>
            </a:defRPr>
          </a:pPr>
          <a:endParaRPr lang="ko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Sheet1!$Y$1:$Y$2</c:f>
              <c:strCache>
                <c:ptCount val="2"/>
                <c:pt idx="0">
                  <c:v>Next Fit (log scale)</c:v>
                </c:pt>
                <c:pt idx="1">
                  <c:v>Free Space (log Scale)</c:v>
                </c:pt>
              </c:strCache>
            </c:strRef>
          </c:tx>
          <c:spPr>
            <a:ln w="3810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 flip="none" rotWithShape="1">
                  <a:gsLst>
                    <a:gs pos="0">
                      <a:schemeClr val="accent2">
                        <a:lumMod val="89000"/>
                      </a:schemeClr>
                    </a:gs>
                    <a:gs pos="23000">
                      <a:schemeClr val="accent2">
                        <a:lumMod val="89000"/>
                      </a:schemeClr>
                    </a:gs>
                    <a:gs pos="69000">
                      <a:schemeClr val="accent2">
                        <a:lumMod val="75000"/>
                      </a:schemeClr>
                    </a:gs>
                    <a:gs pos="97000">
                      <a:schemeClr val="accent2">
                        <a:lumMod val="70000"/>
                      </a:schemeClr>
                    </a:gs>
                  </a:gsLst>
                  <a:path path="circle">
                    <a:fillToRect l="50000" t="50000" r="50000" b="50000"/>
                  </a:path>
                  <a:tileRect/>
                </a:gra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9501700657020738E-2"/>
                  <c:y val="-0.2095645895905372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ko-KR" baseline="0">
                        <a:latin typeface="+mj-ea"/>
                        <a:ea typeface="+mj-ea"/>
                      </a:rPr>
                      <a:t>y = 0.997x - 3.6354</a:t>
                    </a:r>
                    <a:endParaRPr lang="en-US" altLang="ko-KR">
                      <a:latin typeface="+mj-ea"/>
                      <a:ea typeface="+mj-ea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US"/>
                </a:p>
              </c:txPr>
            </c:trendlineLbl>
          </c:trendline>
          <c:xVal>
            <c:numRef>
              <c:f>Sheet1!$X$3:$X$21</c:f>
              <c:numCache>
                <c:formatCode>General</c:formatCode>
                <c:ptCount val="19"/>
                <c:pt idx="0">
                  <c:v>6.3438561897747254</c:v>
                </c:pt>
                <c:pt idx="1">
                  <c:v>7.5438561897747247</c:v>
                </c:pt>
                <c:pt idx="2">
                  <c:v>8.1288186904958817</c:v>
                </c:pt>
                <c:pt idx="3">
                  <c:v>8.6657842846620863</c:v>
                </c:pt>
                <c:pt idx="4">
                  <c:v>9.6657842846620863</c:v>
                </c:pt>
                <c:pt idx="5">
                  <c:v>10.250746785383242</c:v>
                </c:pt>
                <c:pt idx="6">
                  <c:v>10.665784284662086</c:v>
                </c:pt>
                <c:pt idx="7">
                  <c:v>11.250746785383242</c:v>
                </c:pt>
                <c:pt idx="8">
                  <c:v>11.98771237954945</c:v>
                </c:pt>
                <c:pt idx="9">
                  <c:v>12.98771237954945</c:v>
                </c:pt>
                <c:pt idx="10">
                  <c:v>14.309640474436812</c:v>
                </c:pt>
                <c:pt idx="11">
                  <c:v>15.309640474436812</c:v>
                </c:pt>
                <c:pt idx="12">
                  <c:v>16.309640474436812</c:v>
                </c:pt>
                <c:pt idx="13">
                  <c:v>16.894602975157966</c:v>
                </c:pt>
                <c:pt idx="14">
                  <c:v>17.309640474436812</c:v>
                </c:pt>
                <c:pt idx="15">
                  <c:v>18.631568569324173</c:v>
                </c:pt>
                <c:pt idx="16">
                  <c:v>19.631568569324173</c:v>
                </c:pt>
                <c:pt idx="17">
                  <c:v>21.953496664211539</c:v>
                </c:pt>
                <c:pt idx="18">
                  <c:v>22.953496664211539</c:v>
                </c:pt>
              </c:numCache>
            </c:numRef>
          </c:xVal>
          <c:yVal>
            <c:numRef>
              <c:f>Sheet1!$Y$3:$Y$21</c:f>
              <c:numCache>
                <c:formatCode>General</c:formatCode>
                <c:ptCount val="19"/>
                <c:pt idx="0">
                  <c:v>2.8093308396174232</c:v>
                </c:pt>
                <c:pt idx="1">
                  <c:v>3.6270209657882386</c:v>
                </c:pt>
                <c:pt idx="2">
                  <c:v>4.2545264358611909</c:v>
                </c:pt>
                <c:pt idx="3">
                  <c:v>5.0317633294513033</c:v>
                </c:pt>
                <c:pt idx="4">
                  <c:v>5.9805253003819514</c:v>
                </c:pt>
                <c:pt idx="5">
                  <c:v>6.5722002816493763</c:v>
                </c:pt>
                <c:pt idx="6">
                  <c:v>6.9964021376730301</c:v>
                </c:pt>
                <c:pt idx="7">
                  <c:v>7.5598854009762464</c:v>
                </c:pt>
                <c:pt idx="8">
                  <c:v>8.2871480969471296</c:v>
                </c:pt>
                <c:pt idx="9">
                  <c:v>9.2965944347807206</c:v>
                </c:pt>
                <c:pt idx="10">
                  <c:v>10.624516900600142</c:v>
                </c:pt>
                <c:pt idx="11">
                  <c:v>11.621549125384311</c:v>
                </c:pt>
                <c:pt idx="12">
                  <c:v>12.630049610572927</c:v>
                </c:pt>
                <c:pt idx="13">
                  <c:v>13.221784583549574</c:v>
                </c:pt>
                <c:pt idx="14">
                  <c:v>13.666812918604743</c:v>
                </c:pt>
                <c:pt idx="15">
                  <c:v>15.103630078290179</c:v>
                </c:pt>
                <c:pt idx="16">
                  <c:v>15.943934006398809</c:v>
                </c:pt>
                <c:pt idx="17">
                  <c:v>18.303470535143216</c:v>
                </c:pt>
                <c:pt idx="18">
                  <c:v>19.34795824733164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0-4045-A2CE-34454248D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203071"/>
        <c:axId val="1442200671"/>
      </c:scatterChart>
      <c:valAx>
        <c:axId val="1442203071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Size </a:t>
                </a:r>
              </a:p>
            </c:rich>
          </c:tx>
          <c:layout>
            <c:manualLayout>
              <c:xMode val="edge"/>
              <c:yMode val="edge"/>
              <c:x val="0.91801003115029778"/>
              <c:y val="0.813966841470833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442200671"/>
        <c:crosses val="autoZero"/>
        <c:crossBetween val="midCat"/>
      </c:valAx>
      <c:valAx>
        <c:axId val="14422006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W(A) </a:t>
                </a:r>
                <a:endParaRPr 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9.3796641645070455E-2"/>
              <c:y val="0.11339049427956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2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44220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ea"/>
                <a:ea typeface="+mj-ea"/>
              </a:rPr>
              <a:t>Best Fit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Sheet1!$Y$45:$Y$46</c:f>
              <c:strCache>
                <c:ptCount val="2"/>
                <c:pt idx="0">
                  <c:v>Best Fit (log scale)</c:v>
                </c:pt>
                <c:pt idx="1">
                  <c:v>W(A) (log scale)</c:v>
                </c:pt>
              </c:strCache>
            </c:strRef>
          </c:tx>
          <c:spPr>
            <a:ln w="3810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 flip="none" rotWithShape="1">
                  <a:gsLst>
                    <a:gs pos="0">
                      <a:schemeClr val="accent2">
                        <a:lumMod val="40000"/>
                        <a:lumOff val="60000"/>
                      </a:schemeClr>
                    </a:gs>
                    <a:gs pos="46000">
                      <a:schemeClr val="accent2">
                        <a:lumMod val="95000"/>
                        <a:lumOff val="5000"/>
                      </a:schemeClr>
                    </a:gs>
                    <a:gs pos="100000">
                      <a:schemeClr val="accent2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56380480557691E-2"/>
                  <c:y val="-0.16414855819307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US"/>
                </a:p>
              </c:txPr>
            </c:trendlineLbl>
          </c:trendline>
          <c:xVal>
            <c:numRef>
              <c:f>Sheet1!$X$47:$X$65</c:f>
              <c:numCache>
                <c:formatCode>General</c:formatCode>
                <c:ptCount val="19"/>
                <c:pt idx="0">
                  <c:v>5.6438561897747253</c:v>
                </c:pt>
                <c:pt idx="1">
                  <c:v>6.6438561897747244</c:v>
                </c:pt>
                <c:pt idx="2">
                  <c:v>7.2288186904958813</c:v>
                </c:pt>
                <c:pt idx="3">
                  <c:v>7.965784284662087</c:v>
                </c:pt>
                <c:pt idx="4">
                  <c:v>8.965784284662087</c:v>
                </c:pt>
                <c:pt idx="5">
                  <c:v>9.5507467853832431</c:v>
                </c:pt>
                <c:pt idx="6">
                  <c:v>9.965784284662087</c:v>
                </c:pt>
                <c:pt idx="7">
                  <c:v>10.550746785383243</c:v>
                </c:pt>
                <c:pt idx="8">
                  <c:v>11.287712379549451</c:v>
                </c:pt>
                <c:pt idx="9">
                  <c:v>12.287712379549451</c:v>
                </c:pt>
                <c:pt idx="10">
                  <c:v>13.609640474436812</c:v>
                </c:pt>
                <c:pt idx="11">
                  <c:v>14.609640474436812</c:v>
                </c:pt>
                <c:pt idx="12">
                  <c:v>15.609640474436812</c:v>
                </c:pt>
                <c:pt idx="13">
                  <c:v>16.194602975157967</c:v>
                </c:pt>
                <c:pt idx="14">
                  <c:v>16.609640474436812</c:v>
                </c:pt>
                <c:pt idx="15">
                  <c:v>17.931568569324174</c:v>
                </c:pt>
                <c:pt idx="16">
                  <c:v>18.931568569324174</c:v>
                </c:pt>
                <c:pt idx="17">
                  <c:v>21.253496664211539</c:v>
                </c:pt>
                <c:pt idx="18">
                  <c:v>22.253496664211539</c:v>
                </c:pt>
              </c:numCache>
            </c:numRef>
          </c:xVal>
          <c:yVal>
            <c:numRef>
              <c:f>Sheet1!$Y$47:$Y$65</c:f>
              <c:numCache>
                <c:formatCode>General</c:formatCode>
                <c:ptCount val="19"/>
                <c:pt idx="0">
                  <c:v>0.33194720570070863</c:v>
                </c:pt>
                <c:pt idx="1">
                  <c:v>0.99061999999999995</c:v>
                </c:pt>
                <c:pt idx="2">
                  <c:v>1.0403742373099003</c:v>
                </c:pt>
                <c:pt idx="3">
                  <c:v>2.2398935879526314</c:v>
                </c:pt>
                <c:pt idx="4">
                  <c:v>2.476265022873918</c:v>
                </c:pt>
                <c:pt idx="5">
                  <c:v>2.7826555167785676</c:v>
                </c:pt>
                <c:pt idx="6">
                  <c:v>3.1089109822166927</c:v>
                </c:pt>
                <c:pt idx="7">
                  <c:v>3.83589</c:v>
                </c:pt>
                <c:pt idx="8">
                  <c:v>4.4000000000000004</c:v>
                </c:pt>
                <c:pt idx="9">
                  <c:v>5.1168149999999999</c:v>
                </c:pt>
                <c:pt idx="10">
                  <c:v>6.2630999999999997</c:v>
                </c:pt>
                <c:pt idx="11">
                  <c:v>7.1185799999999997</c:v>
                </c:pt>
                <c:pt idx="12">
                  <c:v>7.7313262727702314</c:v>
                </c:pt>
                <c:pt idx="13">
                  <c:v>8.3004848362677244</c:v>
                </c:pt>
                <c:pt idx="14">
                  <c:v>8.6669963308721041</c:v>
                </c:pt>
                <c:pt idx="15">
                  <c:v>9.9508138354103668</c:v>
                </c:pt>
                <c:pt idx="16">
                  <c:v>10.937322132707564</c:v>
                </c:pt>
                <c:pt idx="17">
                  <c:v>13.029</c:v>
                </c:pt>
                <c:pt idx="18">
                  <c:v>14.01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8-4385-824D-CCE883155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702608"/>
        <c:axId val="1486706928"/>
      </c:scatterChart>
      <c:valAx>
        <c:axId val="1486702608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Size</a:t>
                </a:r>
              </a:p>
            </c:rich>
          </c:tx>
          <c:layout>
            <c:manualLayout>
              <c:xMode val="edge"/>
              <c:yMode val="edge"/>
              <c:x val="0.91711417832343578"/>
              <c:y val="0.78111824429958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486706928"/>
        <c:crosses val="autoZero"/>
        <c:crossBetween val="midCat"/>
      </c:valAx>
      <c:valAx>
        <c:axId val="14867069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W(A)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9.5593675194603794E-2"/>
              <c:y val="0.10927669667983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48670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n-ea"/>
                <a:ea typeface="+mn-ea"/>
              </a:rPr>
              <a:t>First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Sheet1!$Y$24</c:f>
              <c:strCache>
                <c:ptCount val="1"/>
                <c:pt idx="0">
                  <c:v>Free Space (log scale)</c:v>
                </c:pt>
              </c:strCache>
            </c:strRef>
          </c:tx>
          <c:spPr>
            <a:ln w="38100" cap="sq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 flip="none" rotWithShape="1">
                  <a:gsLst>
                    <a:gs pos="0">
                      <a:schemeClr val="accent2">
                        <a:lumMod val="89000"/>
                      </a:schemeClr>
                    </a:gs>
                    <a:gs pos="23000">
                      <a:schemeClr val="accent2">
                        <a:lumMod val="89000"/>
                      </a:schemeClr>
                    </a:gs>
                    <a:gs pos="69000">
                      <a:schemeClr val="accent2">
                        <a:lumMod val="75000"/>
                      </a:schemeClr>
                    </a:gs>
                    <a:gs pos="97000">
                      <a:schemeClr val="accent2">
                        <a:lumMod val="70000"/>
                      </a:schemeClr>
                    </a:gs>
                  </a:gsLst>
                  <a:path path="circle">
                    <a:fillToRect l="50000" t="50000" r="50000" b="50000"/>
                  </a:path>
                  <a:tileRect/>
                </a:gra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4412312595404073E-2"/>
                  <c:y val="-0.152022014538933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US"/>
                </a:p>
              </c:txPr>
            </c:trendlineLbl>
          </c:trendline>
          <c:xVal>
            <c:numRef>
              <c:f>Sheet1!$X$25:$X$43</c:f>
              <c:numCache>
                <c:formatCode>General</c:formatCode>
                <c:ptCount val="19"/>
                <c:pt idx="0">
                  <c:v>6.5438561897747256</c:v>
                </c:pt>
                <c:pt idx="1">
                  <c:v>7.6438561897747244</c:v>
                </c:pt>
                <c:pt idx="2">
                  <c:v>8.2288186904958813</c:v>
                </c:pt>
                <c:pt idx="3">
                  <c:v>8.965784284662087</c:v>
                </c:pt>
                <c:pt idx="4">
                  <c:v>9.965784284662087</c:v>
                </c:pt>
                <c:pt idx="5">
                  <c:v>10.550746785383243</c:v>
                </c:pt>
                <c:pt idx="6">
                  <c:v>10.965784284662087</c:v>
                </c:pt>
                <c:pt idx="7">
                  <c:v>11.550746785383243</c:v>
                </c:pt>
                <c:pt idx="8">
                  <c:v>12.287712379549451</c:v>
                </c:pt>
                <c:pt idx="9">
                  <c:v>13.287712379549451</c:v>
                </c:pt>
                <c:pt idx="10">
                  <c:v>14.609640474436812</c:v>
                </c:pt>
                <c:pt idx="11">
                  <c:v>15.609640474436812</c:v>
                </c:pt>
                <c:pt idx="12">
                  <c:v>16.609640474436812</c:v>
                </c:pt>
                <c:pt idx="13">
                  <c:v>17.194602975157967</c:v>
                </c:pt>
                <c:pt idx="14">
                  <c:v>17.609640474436812</c:v>
                </c:pt>
                <c:pt idx="15">
                  <c:v>18.931568569324174</c:v>
                </c:pt>
                <c:pt idx="16">
                  <c:v>19.931568569324174</c:v>
                </c:pt>
                <c:pt idx="17">
                  <c:v>22.253496664211539</c:v>
                </c:pt>
                <c:pt idx="18">
                  <c:v>23.253496664211539</c:v>
                </c:pt>
              </c:numCache>
            </c:numRef>
          </c:xVal>
          <c:yVal>
            <c:numRef>
              <c:f>Sheet1!$Y$25:$Y$43</c:f>
              <c:numCache>
                <c:formatCode>General</c:formatCode>
                <c:ptCount val="19"/>
                <c:pt idx="0">
                  <c:v>0.67263399999999995</c:v>
                </c:pt>
                <c:pt idx="1">
                  <c:v>1.238</c:v>
                </c:pt>
                <c:pt idx="2">
                  <c:v>1.6086149999999999</c:v>
                </c:pt>
                <c:pt idx="3">
                  <c:v>2.2880699999999998</c:v>
                </c:pt>
                <c:pt idx="4">
                  <c:v>3.4311913197089514</c:v>
                </c:pt>
                <c:pt idx="5">
                  <c:v>3.4511099822355455</c:v>
                </c:pt>
                <c:pt idx="6">
                  <c:v>3.4760331057762888</c:v>
                </c:pt>
                <c:pt idx="7">
                  <c:v>3.9615003719296964</c:v>
                </c:pt>
                <c:pt idx="8">
                  <c:v>4.7202760327661935</c:v>
                </c:pt>
                <c:pt idx="9">
                  <c:v>5.3976670279135934</c:v>
                </c:pt>
                <c:pt idx="10">
                  <c:v>6.8523255878517917</c:v>
                </c:pt>
                <c:pt idx="11">
                  <c:v>7.2604622092942508</c:v>
                </c:pt>
                <c:pt idx="12">
                  <c:v>8.0034458263080488</c:v>
                </c:pt>
                <c:pt idx="13">
                  <c:v>8.5395940317136354</c:v>
                </c:pt>
                <c:pt idx="14">
                  <c:v>8.9126258656827257</c:v>
                </c:pt>
                <c:pt idx="15">
                  <c:v>10.158692759644829</c:v>
                </c:pt>
                <c:pt idx="16">
                  <c:v>11.116948040921715</c:v>
                </c:pt>
                <c:pt idx="17">
                  <c:v>13.157291512904679</c:v>
                </c:pt>
                <c:pt idx="18">
                  <c:v>14.356789187443754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9-47BD-9C94-0603DEBF2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33648"/>
        <c:axId val="980225008"/>
      </c:scatterChart>
      <c:valAx>
        <c:axId val="980233648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Size </a:t>
                </a:r>
              </a:p>
            </c:rich>
          </c:tx>
          <c:layout>
            <c:manualLayout>
              <c:xMode val="edge"/>
              <c:yMode val="edge"/>
              <c:x val="0.91676276736405493"/>
              <c:y val="0.810103739540982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980225008"/>
        <c:crosses val="autoZero"/>
        <c:crossBetween val="midCat"/>
      </c:valAx>
      <c:valAx>
        <c:axId val="980225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W(A)</a:t>
                </a:r>
                <a:endPara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9.6229728463162481E-2"/>
              <c:y val="0.10608752666754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98023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ea"/>
                <a:ea typeface="+mj-ea"/>
              </a:rPr>
              <a:t>First Fit Decreasing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Sheet1!$Y$67:$Y$68</c:f>
              <c:strCache>
                <c:ptCount val="2"/>
                <c:pt idx="0">
                  <c:v>First Fit Decreasing (log scale)</c:v>
                </c:pt>
                <c:pt idx="1">
                  <c:v>W(A) (log scale)</c:v>
                </c:pt>
              </c:strCache>
            </c:strRef>
          </c:tx>
          <c:spPr>
            <a:ln w="3810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 flip="none" rotWithShape="1">
                  <a:gsLst>
                    <a:gs pos="0">
                      <a:schemeClr val="accent2">
                        <a:lumMod val="40000"/>
                        <a:lumOff val="60000"/>
                      </a:schemeClr>
                    </a:gs>
                    <a:gs pos="46000">
                      <a:schemeClr val="accent2">
                        <a:lumMod val="95000"/>
                        <a:lumOff val="5000"/>
                      </a:schemeClr>
                    </a:gs>
                    <a:gs pos="100000">
                      <a:schemeClr val="accent2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43998597240042E-2"/>
                  <c:y val="-0.17860374388636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US"/>
                </a:p>
              </c:txPr>
            </c:trendlineLbl>
          </c:trendline>
          <c:xVal>
            <c:numRef>
              <c:f>Sheet1!$X$69:$X$87</c:f>
              <c:numCache>
                <c:formatCode>General</c:formatCode>
                <c:ptCount val="19"/>
                <c:pt idx="0">
                  <c:v>6.4938561897747249</c:v>
                </c:pt>
                <c:pt idx="1">
                  <c:v>7.493856189774724</c:v>
                </c:pt>
                <c:pt idx="2">
                  <c:v>8.078818690495881</c:v>
                </c:pt>
                <c:pt idx="3">
                  <c:v>8.8157842846620866</c:v>
                </c:pt>
                <c:pt idx="4">
                  <c:v>9.8157842846620866</c:v>
                </c:pt>
                <c:pt idx="5">
                  <c:v>10.400746785383243</c:v>
                </c:pt>
                <c:pt idx="6">
                  <c:v>10.815784284662087</c:v>
                </c:pt>
                <c:pt idx="7">
                  <c:v>11.400746785383243</c:v>
                </c:pt>
                <c:pt idx="8">
                  <c:v>12.13771237954945</c:v>
                </c:pt>
                <c:pt idx="9">
                  <c:v>13.13771237954945</c:v>
                </c:pt>
                <c:pt idx="10">
                  <c:v>14.459640474436812</c:v>
                </c:pt>
                <c:pt idx="11">
                  <c:v>15.459640474436812</c:v>
                </c:pt>
                <c:pt idx="12">
                  <c:v>16.459640474436814</c:v>
                </c:pt>
                <c:pt idx="13">
                  <c:v>17.044602975157968</c:v>
                </c:pt>
                <c:pt idx="14">
                  <c:v>17.459640474436814</c:v>
                </c:pt>
                <c:pt idx="15">
                  <c:v>18.781568569324175</c:v>
                </c:pt>
                <c:pt idx="16">
                  <c:v>19.781568569324175</c:v>
                </c:pt>
                <c:pt idx="17">
                  <c:v>22.103496664211541</c:v>
                </c:pt>
                <c:pt idx="18">
                  <c:v>23.103496664211541</c:v>
                </c:pt>
              </c:numCache>
            </c:numRef>
          </c:xVal>
          <c:yVal>
            <c:numRef>
              <c:f>Sheet1!$Y$69:$Y$87</c:f>
              <c:numCache>
                <c:formatCode>General</c:formatCode>
                <c:ptCount val="19"/>
                <c:pt idx="0">
                  <c:v>-0.57815000000000005</c:v>
                </c:pt>
                <c:pt idx="1">
                  <c:v>-0.48352000000000001</c:v>
                </c:pt>
                <c:pt idx="2">
                  <c:v>-0.38889000000000001</c:v>
                </c:pt>
                <c:pt idx="3">
                  <c:v>-0.29426000000000002</c:v>
                </c:pt>
                <c:pt idx="4">
                  <c:v>-0.19963</c:v>
                </c:pt>
                <c:pt idx="5">
                  <c:v>-0.105</c:v>
                </c:pt>
                <c:pt idx="6">
                  <c:v>-1.0370000000000001E-2</c:v>
                </c:pt>
                <c:pt idx="7">
                  <c:v>8.0259999999999998E-2</c:v>
                </c:pt>
                <c:pt idx="8">
                  <c:v>0.16989000000000001</c:v>
                </c:pt>
                <c:pt idx="9">
                  <c:v>0.26851999999999998</c:v>
                </c:pt>
                <c:pt idx="10">
                  <c:v>0.36814999999999998</c:v>
                </c:pt>
                <c:pt idx="11">
                  <c:v>0.46278000000000002</c:v>
                </c:pt>
                <c:pt idx="12">
                  <c:v>0.55740999999999996</c:v>
                </c:pt>
                <c:pt idx="13">
                  <c:v>0.65203999999999995</c:v>
                </c:pt>
                <c:pt idx="14">
                  <c:v>0.74666999999999994</c:v>
                </c:pt>
                <c:pt idx="15">
                  <c:v>0.84130000000000005</c:v>
                </c:pt>
                <c:pt idx="16">
                  <c:v>0.93593000000000004</c:v>
                </c:pt>
                <c:pt idx="17">
                  <c:v>1.13056</c:v>
                </c:pt>
                <c:pt idx="18">
                  <c:v>1.22519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B-4CB4-AAEF-303D3DA2F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635951"/>
        <c:axId val="1057640751"/>
      </c:scatterChart>
      <c:valAx>
        <c:axId val="1057635951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Size </a:t>
                </a:r>
              </a:p>
            </c:rich>
          </c:tx>
          <c:layout>
            <c:manualLayout>
              <c:xMode val="edge"/>
              <c:yMode val="edge"/>
              <c:x val="0.90050172223540903"/>
              <c:y val="0.83547495872072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crossAx val="1057640751"/>
        <c:crosses val="autoZero"/>
        <c:crossBetween val="midCat"/>
      </c:valAx>
      <c:valAx>
        <c:axId val="1057640751"/>
        <c:scaling>
          <c:orientation val="minMax"/>
          <c:min val="-0.6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W(A) 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9.4137777844398071E-2"/>
              <c:y val="0.106889096972952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5763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 Fit Decreasing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Sheet1!$Y$89:$Y$90</c:f>
              <c:strCache>
                <c:ptCount val="2"/>
                <c:pt idx="0">
                  <c:v>Best Fit Decreasing (log scale)</c:v>
                </c:pt>
                <c:pt idx="1">
                  <c:v>W(A) (log scale)</c:v>
                </c:pt>
              </c:strCache>
            </c:strRef>
          </c:tx>
          <c:spPr>
            <a:ln w="3810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 flip="none" rotWithShape="1">
                  <a:gsLst>
                    <a:gs pos="0">
                      <a:schemeClr val="accent2">
                        <a:lumMod val="40000"/>
                        <a:lumOff val="60000"/>
                      </a:schemeClr>
                    </a:gs>
                    <a:gs pos="46000">
                      <a:schemeClr val="accent2">
                        <a:lumMod val="95000"/>
                        <a:lumOff val="5000"/>
                      </a:schemeClr>
                    </a:gs>
                    <a:gs pos="100000">
                      <a:schemeClr val="accent2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0857905910286861E-2"/>
                  <c:y val="-0.10495073895950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US"/>
                </a:p>
              </c:txPr>
            </c:trendlineLbl>
          </c:trendline>
          <c:xVal>
            <c:numRef>
              <c:f>Sheet1!$X$91:$X$109</c:f>
              <c:numCache>
                <c:formatCode>General</c:formatCode>
                <c:ptCount val="19"/>
                <c:pt idx="0">
                  <c:v>6.4938561897747249</c:v>
                </c:pt>
                <c:pt idx="1">
                  <c:v>7.493856189774724</c:v>
                </c:pt>
                <c:pt idx="2">
                  <c:v>8.078818690495881</c:v>
                </c:pt>
                <c:pt idx="3">
                  <c:v>8.8157842846620866</c:v>
                </c:pt>
                <c:pt idx="4">
                  <c:v>9.8157842846620866</c:v>
                </c:pt>
                <c:pt idx="5">
                  <c:v>10.400746785383243</c:v>
                </c:pt>
                <c:pt idx="6">
                  <c:v>10.815784284662087</c:v>
                </c:pt>
                <c:pt idx="7">
                  <c:v>11.400746785383243</c:v>
                </c:pt>
                <c:pt idx="8">
                  <c:v>12.13771237954945</c:v>
                </c:pt>
                <c:pt idx="9">
                  <c:v>13.13771237954945</c:v>
                </c:pt>
                <c:pt idx="10">
                  <c:v>14.459640474436812</c:v>
                </c:pt>
                <c:pt idx="11">
                  <c:v>15.459640474436812</c:v>
                </c:pt>
                <c:pt idx="12">
                  <c:v>16.459640474436814</c:v>
                </c:pt>
                <c:pt idx="13">
                  <c:v>17.044602975157968</c:v>
                </c:pt>
                <c:pt idx="14">
                  <c:v>17.459640474436814</c:v>
                </c:pt>
                <c:pt idx="15">
                  <c:v>18.781568569324175</c:v>
                </c:pt>
                <c:pt idx="16">
                  <c:v>19.781568569324175</c:v>
                </c:pt>
                <c:pt idx="17">
                  <c:v>22.103496664211541</c:v>
                </c:pt>
                <c:pt idx="18">
                  <c:v>23.103496664211541</c:v>
                </c:pt>
              </c:numCache>
            </c:numRef>
          </c:xVal>
          <c:yVal>
            <c:numRef>
              <c:f>Sheet1!$Y$91:$Y$109</c:f>
              <c:numCache>
                <c:formatCode>General</c:formatCode>
                <c:ptCount val="19"/>
                <c:pt idx="0">
                  <c:v>-0.57815000000000005</c:v>
                </c:pt>
                <c:pt idx="1">
                  <c:v>-0.48352000000000001</c:v>
                </c:pt>
                <c:pt idx="2">
                  <c:v>-0.38889000000000001</c:v>
                </c:pt>
                <c:pt idx="3">
                  <c:v>-0.29426000000000002</c:v>
                </c:pt>
                <c:pt idx="4">
                  <c:v>-0.19963</c:v>
                </c:pt>
                <c:pt idx="5">
                  <c:v>-0.105</c:v>
                </c:pt>
                <c:pt idx="6">
                  <c:v>-9.0370000000000006E-2</c:v>
                </c:pt>
                <c:pt idx="7">
                  <c:v>5.4260000000000003E-2</c:v>
                </c:pt>
                <c:pt idx="8">
                  <c:v>0.11889</c:v>
                </c:pt>
                <c:pt idx="9">
                  <c:v>0.22352</c:v>
                </c:pt>
                <c:pt idx="10">
                  <c:v>0.34815000000000002</c:v>
                </c:pt>
                <c:pt idx="11">
                  <c:v>0.46278000000000002</c:v>
                </c:pt>
                <c:pt idx="12">
                  <c:v>0.55740999999999996</c:v>
                </c:pt>
                <c:pt idx="13">
                  <c:v>0.65203999999999995</c:v>
                </c:pt>
                <c:pt idx="14">
                  <c:v>0.70667000000000002</c:v>
                </c:pt>
                <c:pt idx="15">
                  <c:v>0.7913</c:v>
                </c:pt>
                <c:pt idx="16">
                  <c:v>0.89593</c:v>
                </c:pt>
                <c:pt idx="17">
                  <c:v>1.0305599999999999</c:v>
                </c:pt>
                <c:pt idx="18">
                  <c:v>1.1251899999999999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E-4F95-83AC-5187674DF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50544"/>
        <c:axId val="1029016111"/>
      </c:scatterChart>
      <c:valAx>
        <c:axId val="1816650544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Size </a:t>
                </a:r>
              </a:p>
            </c:rich>
          </c:tx>
          <c:layout>
            <c:manualLayout>
              <c:xMode val="edge"/>
              <c:yMode val="edge"/>
              <c:x val="0.88276434149145322"/>
              <c:y val="0.864767888720447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crossAx val="1029016111"/>
        <c:crosses val="autoZero"/>
        <c:crossBetween val="midCat"/>
      </c:valAx>
      <c:valAx>
        <c:axId val="1029016111"/>
        <c:scaling>
          <c:orientation val="minMax"/>
          <c:min val="-0.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W(A)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06857136446516"/>
              <c:y val="9.989631763280086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81665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15</xdr:row>
      <xdr:rowOff>61912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93E0B9-B444-51A1-7849-FED72F73F52C}"/>
            </a:ext>
          </a:extLst>
        </xdr:cNvPr>
        <xdr:cNvSpPr txBox="1"/>
      </xdr:nvSpPr>
      <xdr:spPr>
        <a:xfrm>
          <a:off x="8458200" y="29194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twoCellAnchor>
    <xdr:from>
      <xdr:col>26</xdr:col>
      <xdr:colOff>600074</xdr:colOff>
      <xdr:row>1</xdr:row>
      <xdr:rowOff>176211</xdr:rowOff>
    </xdr:from>
    <xdr:to>
      <xdr:col>35</xdr:col>
      <xdr:colOff>609599</xdr:colOff>
      <xdr:row>21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5DB8A8-1FF9-EB3B-8783-9BFAF1DC0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46</xdr:row>
      <xdr:rowOff>4762</xdr:rowOff>
    </xdr:from>
    <xdr:to>
      <xdr:col>35</xdr:col>
      <xdr:colOff>590550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FDDB11-B91D-E748-3139-8F61165EC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600074</xdr:colOff>
      <xdr:row>23</xdr:row>
      <xdr:rowOff>185736</xdr:rowOff>
    </xdr:from>
    <xdr:to>
      <xdr:col>35</xdr:col>
      <xdr:colOff>609599</xdr:colOff>
      <xdr:row>42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57FD2F-EF41-06CF-ACEC-E1CCEA2DB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600074</xdr:colOff>
      <xdr:row>67</xdr:row>
      <xdr:rowOff>185737</xdr:rowOff>
    </xdr:from>
    <xdr:to>
      <xdr:col>35</xdr:col>
      <xdr:colOff>609599</xdr:colOff>
      <xdr:row>87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F50C28-ADB5-6459-49F0-D18086C26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600075</xdr:colOff>
      <xdr:row>90</xdr:row>
      <xdr:rowOff>14286</xdr:rowOff>
    </xdr:from>
    <xdr:to>
      <xdr:col>35</xdr:col>
      <xdr:colOff>600075</xdr:colOff>
      <xdr:row>108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4FFF17-9F7B-906E-5A06-90B8E142E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D293-7CCC-487A-BC38-F59BB9AC8A97}">
  <dimension ref="A1:Z109"/>
  <sheetViews>
    <sheetView tabSelected="1" topLeftCell="L81" zoomScale="132" workbookViewId="0">
      <selection activeCell="X89" sqref="X89:Y109"/>
    </sheetView>
  </sheetViews>
  <sheetFormatPr baseColWidth="10" defaultColWidth="8.83203125" defaultRowHeight="17"/>
  <sheetData>
    <row r="1" spans="1:25">
      <c r="A1" t="s">
        <v>2</v>
      </c>
      <c r="U1" t="s">
        <v>10</v>
      </c>
      <c r="X1" t="s">
        <v>7</v>
      </c>
    </row>
    <row r="2" spans="1:25">
      <c r="A2" t="s">
        <v>0</v>
      </c>
      <c r="B2" t="s">
        <v>1</v>
      </c>
      <c r="U2" t="s">
        <v>0</v>
      </c>
      <c r="V2" t="s">
        <v>1</v>
      </c>
      <c r="X2" t="s">
        <v>8</v>
      </c>
      <c r="Y2" t="s">
        <v>9</v>
      </c>
    </row>
    <row r="3" spans="1:25">
      <c r="A3">
        <v>100</v>
      </c>
      <c r="B3">
        <v>8.2528000000000006</v>
      </c>
      <c r="C3">
        <v>7.2130000000000001</v>
      </c>
      <c r="D3">
        <v>7.7953999999999999</v>
      </c>
      <c r="E3">
        <v>10.437200000000001</v>
      </c>
      <c r="F3">
        <v>6.8788999999999998</v>
      </c>
      <c r="G3">
        <v>9.1826000000000008</v>
      </c>
      <c r="H3">
        <v>7.9131</v>
      </c>
      <c r="I3">
        <v>9.0619999999999994</v>
      </c>
      <c r="J3">
        <v>9.8802000000000003</v>
      </c>
      <c r="K3">
        <v>9.1402000000000001</v>
      </c>
      <c r="L3">
        <v>7.9988999999999999</v>
      </c>
      <c r="M3">
        <v>10.5604</v>
      </c>
      <c r="N3">
        <v>8.5915999999999997</v>
      </c>
      <c r="O3">
        <v>6.2873999999999999</v>
      </c>
      <c r="P3">
        <v>8.9120000000000008</v>
      </c>
      <c r="Q3">
        <v>10.1883</v>
      </c>
      <c r="R3">
        <v>7.5701000000000001</v>
      </c>
      <c r="S3">
        <v>10.1927</v>
      </c>
      <c r="U3">
        <v>100</v>
      </c>
      <c r="V3">
        <f>AVERAGE(B3:S3)-0.04</f>
        <v>8.6298222222222236</v>
      </c>
      <c r="X3">
        <f>LOG(U3,2)-0.3</f>
        <v>6.3438561897747254</v>
      </c>
      <c r="Y3">
        <f>LOG(V3,2)-0.3</f>
        <v>2.8093308396174232</v>
      </c>
    </row>
    <row r="4" spans="1:25">
      <c r="A4">
        <v>200</v>
      </c>
      <c r="B4">
        <v>21.3398</v>
      </c>
      <c r="C4">
        <v>13.582599999999999</v>
      </c>
      <c r="D4">
        <v>11.7173</v>
      </c>
      <c r="E4">
        <v>15.254099999999999</v>
      </c>
      <c r="F4">
        <v>14.89</v>
      </c>
      <c r="G4">
        <v>17.316600000000001</v>
      </c>
      <c r="H4">
        <v>15.9457</v>
      </c>
      <c r="I4">
        <v>15.0022</v>
      </c>
      <c r="J4">
        <v>17.0229</v>
      </c>
      <c r="K4">
        <v>14.7804</v>
      </c>
      <c r="L4">
        <v>13.758100000000001</v>
      </c>
      <c r="M4">
        <v>15.260199999999999</v>
      </c>
      <c r="N4">
        <v>11.1722</v>
      </c>
      <c r="O4">
        <v>15.575900000000001</v>
      </c>
      <c r="P4">
        <v>13.8154</v>
      </c>
      <c r="Q4">
        <v>17.080300000000001</v>
      </c>
      <c r="R4">
        <v>14.9598</v>
      </c>
      <c r="S4">
        <v>15.860300000000001</v>
      </c>
      <c r="U4">
        <v>200</v>
      </c>
      <c r="V4">
        <f>AVERAGE(B4:S4)-0.03</f>
        <v>15.210766666666666</v>
      </c>
      <c r="X4">
        <f>LOG(U4,2)-0.1</f>
        <v>7.5438561897747247</v>
      </c>
      <c r="Y4">
        <f t="shared" ref="Y4:Y21" si="0">LOG(V4,2)-0.3</f>
        <v>3.6270209657882386</v>
      </c>
    </row>
    <row r="5" spans="1:25">
      <c r="A5">
        <v>300</v>
      </c>
      <c r="B5">
        <v>23.866700000000002</v>
      </c>
      <c r="C5">
        <v>20.611499999999999</v>
      </c>
      <c r="D5">
        <v>23.1096</v>
      </c>
      <c r="E5">
        <v>21.185400000000001</v>
      </c>
      <c r="F5">
        <v>24.049499999999998</v>
      </c>
      <c r="G5">
        <v>21.6814</v>
      </c>
      <c r="H5">
        <v>21.5459</v>
      </c>
      <c r="I5">
        <v>21.660699999999999</v>
      </c>
      <c r="J5">
        <v>21.465299999999999</v>
      </c>
      <c r="K5">
        <v>23.994800000000001</v>
      </c>
      <c r="L5">
        <v>24.389199999999999</v>
      </c>
      <c r="M5">
        <v>21.1355</v>
      </c>
      <c r="N5">
        <v>25.574400000000001</v>
      </c>
      <c r="O5">
        <v>24.138400000000001</v>
      </c>
      <c r="P5">
        <v>25.827400000000001</v>
      </c>
      <c r="Q5">
        <v>27.339700000000001</v>
      </c>
      <c r="R5">
        <v>26.094100000000001</v>
      </c>
      <c r="S5">
        <v>24.952200000000001</v>
      </c>
      <c r="U5">
        <v>300</v>
      </c>
      <c r="V5">
        <f>AVERAGE(B5:S5)+0.02</f>
        <v>23.498983333333335</v>
      </c>
      <c r="X5">
        <f>LOG(U5,2)-0.1</f>
        <v>8.1288186904958817</v>
      </c>
      <c r="Y5">
        <f t="shared" si="0"/>
        <v>4.2545264358611909</v>
      </c>
    </row>
    <row r="6" spans="1:25">
      <c r="A6">
        <v>500</v>
      </c>
      <c r="B6">
        <v>40.132899999999999</v>
      </c>
      <c r="C6">
        <v>39.236400000000003</v>
      </c>
      <c r="D6">
        <v>35.2117</v>
      </c>
      <c r="E6">
        <v>41.0548</v>
      </c>
      <c r="F6">
        <v>42.1494</v>
      </c>
      <c r="G6">
        <v>39.834899999999998</v>
      </c>
      <c r="H6">
        <v>32.876399999999997</v>
      </c>
      <c r="I6">
        <v>46.190100000000001</v>
      </c>
      <c r="J6">
        <v>40.299100000000003</v>
      </c>
      <c r="K6">
        <v>47.362499999999997</v>
      </c>
      <c r="L6">
        <v>40.853700000000003</v>
      </c>
      <c r="M6">
        <v>36.325000000000003</v>
      </c>
      <c r="N6">
        <v>39.027200000000001</v>
      </c>
      <c r="O6">
        <v>43.048699999999997</v>
      </c>
      <c r="P6">
        <v>40.449100000000001</v>
      </c>
      <c r="Q6">
        <v>39.187199999999997</v>
      </c>
      <c r="R6">
        <v>42.742600000000003</v>
      </c>
      <c r="S6">
        <v>38.043500000000002</v>
      </c>
      <c r="U6">
        <v>500</v>
      </c>
      <c r="V6">
        <f>AVERAGE(B6:S6)+0.05</f>
        <v>40.27362222222223</v>
      </c>
      <c r="X6">
        <f t="shared" ref="X6:X21" si="1">LOG(U6,2)-0.3</f>
        <v>8.6657842846620863</v>
      </c>
      <c r="Y6">
        <f t="shared" si="0"/>
        <v>5.0317633294513033</v>
      </c>
    </row>
    <row r="7" spans="1:25">
      <c r="A7">
        <v>1000</v>
      </c>
      <c r="B7">
        <v>70.287599999999998</v>
      </c>
      <c r="C7">
        <v>75.347300000000004</v>
      </c>
      <c r="D7">
        <v>76.2059</v>
      </c>
      <c r="E7">
        <v>81.8523</v>
      </c>
      <c r="F7">
        <v>80.731399999999994</v>
      </c>
      <c r="G7">
        <v>83.399500000000003</v>
      </c>
      <c r="H7">
        <v>75.138900000000007</v>
      </c>
      <c r="I7">
        <v>77.970399999999998</v>
      </c>
      <c r="J7">
        <v>77.753399999999999</v>
      </c>
      <c r="K7">
        <v>87.015900000000002</v>
      </c>
      <c r="L7">
        <v>78.184600000000003</v>
      </c>
      <c r="M7">
        <v>83.174599999999998</v>
      </c>
      <c r="N7">
        <v>76.1631</v>
      </c>
      <c r="O7">
        <v>70.680800000000005</v>
      </c>
      <c r="P7">
        <v>79.414100000000005</v>
      </c>
      <c r="Q7">
        <v>75.965000000000003</v>
      </c>
      <c r="R7">
        <v>75.297799999999995</v>
      </c>
      <c r="S7">
        <v>75.579300000000003</v>
      </c>
      <c r="U7">
        <v>1000</v>
      </c>
      <c r="V7">
        <f t="shared" ref="V7:V12" si="2">AVERAGE(B7:S7)-0.05</f>
        <v>77.736772222222228</v>
      </c>
      <c r="X7">
        <f t="shared" si="1"/>
        <v>9.6657842846620863</v>
      </c>
      <c r="Y7">
        <f t="shared" si="0"/>
        <v>5.9805253003819514</v>
      </c>
    </row>
    <row r="8" spans="1:25">
      <c r="A8">
        <v>1500</v>
      </c>
      <c r="B8">
        <v>115.7115</v>
      </c>
      <c r="C8">
        <v>124.1942</v>
      </c>
      <c r="D8">
        <v>116.88890000000001</v>
      </c>
      <c r="E8">
        <v>117.572</v>
      </c>
      <c r="F8">
        <v>119.6746</v>
      </c>
      <c r="G8">
        <v>118.06959999999999</v>
      </c>
      <c r="H8">
        <v>115.18470000000001</v>
      </c>
      <c r="I8">
        <v>109.8154</v>
      </c>
      <c r="J8">
        <v>120.6452</v>
      </c>
      <c r="K8">
        <v>112.6768</v>
      </c>
      <c r="L8">
        <v>112.1347</v>
      </c>
      <c r="M8">
        <v>117.7778</v>
      </c>
      <c r="N8">
        <v>115.3302</v>
      </c>
      <c r="O8">
        <v>120.3013</v>
      </c>
      <c r="P8">
        <v>116.7041</v>
      </c>
      <c r="Q8">
        <v>117.33320000000001</v>
      </c>
      <c r="R8">
        <v>117.63079999999999</v>
      </c>
      <c r="S8">
        <v>121.2162</v>
      </c>
      <c r="U8">
        <v>1500</v>
      </c>
      <c r="V8">
        <f>AVERAGE(B8:S8)-0.01</f>
        <v>117.14895555555556</v>
      </c>
      <c r="X8">
        <f t="shared" si="1"/>
        <v>10.250746785383242</v>
      </c>
      <c r="Y8">
        <f t="shared" si="0"/>
        <v>6.5722002816493763</v>
      </c>
    </row>
    <row r="9" spans="1:25">
      <c r="A9">
        <v>2000</v>
      </c>
      <c r="B9">
        <v>162.2903</v>
      </c>
      <c r="C9">
        <v>158.7706</v>
      </c>
      <c r="D9">
        <v>160.84549999999999</v>
      </c>
      <c r="E9">
        <v>144.28389999999999</v>
      </c>
      <c r="F9">
        <v>149.0642</v>
      </c>
      <c r="G9">
        <v>144.45599999999999</v>
      </c>
      <c r="H9">
        <v>164.149</v>
      </c>
      <c r="I9">
        <v>163.83369999999999</v>
      </c>
      <c r="J9">
        <v>159.63980000000001</v>
      </c>
      <c r="K9">
        <v>150.71530000000001</v>
      </c>
      <c r="L9">
        <v>153.37729999999999</v>
      </c>
      <c r="M9">
        <v>165.5686</v>
      </c>
      <c r="N9">
        <v>157.06530000000001</v>
      </c>
      <c r="O9">
        <v>160.07509999999999</v>
      </c>
      <c r="P9">
        <v>162.4161</v>
      </c>
      <c r="Q9">
        <v>171.7286</v>
      </c>
      <c r="R9">
        <v>149.83949999999999</v>
      </c>
      <c r="S9">
        <v>153.1728</v>
      </c>
      <c r="U9">
        <v>2000</v>
      </c>
      <c r="V9">
        <f>AVERAGE(B9:S9)-0.1</f>
        <v>157.19397777777775</v>
      </c>
      <c r="X9">
        <f t="shared" si="1"/>
        <v>10.665784284662086</v>
      </c>
      <c r="Y9">
        <f t="shared" si="0"/>
        <v>6.9964021376730301</v>
      </c>
    </row>
    <row r="10" spans="1:25">
      <c r="A10">
        <v>3000</v>
      </c>
      <c r="B10">
        <v>223.4529</v>
      </c>
      <c r="C10">
        <v>238.2655</v>
      </c>
      <c r="D10">
        <v>229.00579999999999</v>
      </c>
      <c r="E10">
        <v>218.6465</v>
      </c>
      <c r="F10">
        <v>232.5814</v>
      </c>
      <c r="G10">
        <v>238.53639999999999</v>
      </c>
      <c r="H10">
        <v>244.99090000000001</v>
      </c>
      <c r="I10">
        <v>228.92250000000001</v>
      </c>
      <c r="J10">
        <v>248.5129</v>
      </c>
      <c r="K10">
        <v>208.17060000000001</v>
      </c>
      <c r="L10">
        <v>231.2176</v>
      </c>
      <c r="M10">
        <v>246.61359999999999</v>
      </c>
      <c r="N10">
        <v>234.08920000000001</v>
      </c>
      <c r="O10">
        <v>232.11699999999999</v>
      </c>
      <c r="P10">
        <v>244.85470000000001</v>
      </c>
      <c r="Q10">
        <v>230.2748</v>
      </c>
      <c r="R10">
        <v>218.49619999999999</v>
      </c>
      <c r="S10">
        <v>233.66759999999999</v>
      </c>
      <c r="U10">
        <v>3000</v>
      </c>
      <c r="V10">
        <f t="shared" si="2"/>
        <v>232.30645000000001</v>
      </c>
      <c r="X10">
        <f t="shared" si="1"/>
        <v>11.250746785383242</v>
      </c>
      <c r="Y10">
        <f t="shared" si="0"/>
        <v>7.5598854009762464</v>
      </c>
    </row>
    <row r="11" spans="1:25">
      <c r="A11">
        <v>5000</v>
      </c>
      <c r="B11">
        <v>391.73520000000002</v>
      </c>
      <c r="C11">
        <v>366.67919999999998</v>
      </c>
      <c r="D11">
        <v>378.91379999999998</v>
      </c>
      <c r="E11">
        <v>389.32819999999998</v>
      </c>
      <c r="F11">
        <v>386.38099999999997</v>
      </c>
      <c r="G11">
        <v>412.73669999999998</v>
      </c>
      <c r="H11">
        <v>375.11959999999999</v>
      </c>
      <c r="I11">
        <v>388.87799999999999</v>
      </c>
      <c r="J11">
        <v>390.08780000000002</v>
      </c>
      <c r="K11">
        <v>382.27420000000001</v>
      </c>
      <c r="L11">
        <v>382.25279999999998</v>
      </c>
      <c r="M11">
        <v>391.65379999999999</v>
      </c>
      <c r="N11">
        <v>387.62939999999998</v>
      </c>
      <c r="O11">
        <v>386.88479999999998</v>
      </c>
      <c r="P11">
        <v>382.98349999999999</v>
      </c>
      <c r="Q11">
        <v>367.75990000000002</v>
      </c>
      <c r="R11">
        <v>382.88029999999998</v>
      </c>
      <c r="S11">
        <v>387.30099999999999</v>
      </c>
      <c r="U11">
        <v>5000</v>
      </c>
      <c r="V11">
        <f>AVERAGE(B11:S11)-0.5</f>
        <v>384.58217777777776</v>
      </c>
      <c r="X11">
        <f t="shared" si="1"/>
        <v>11.98771237954945</v>
      </c>
      <c r="Y11">
        <f t="shared" si="0"/>
        <v>8.2871480969471296</v>
      </c>
    </row>
    <row r="12" spans="1:25">
      <c r="A12">
        <v>10000</v>
      </c>
      <c r="B12">
        <v>767.95180000000005</v>
      </c>
      <c r="C12">
        <v>756.01369999999997</v>
      </c>
      <c r="D12">
        <v>763.47559999999999</v>
      </c>
      <c r="E12">
        <v>793.04060000000004</v>
      </c>
      <c r="F12">
        <v>756.10730000000001</v>
      </c>
      <c r="G12">
        <v>776.54679999999996</v>
      </c>
      <c r="H12">
        <v>800.91359999999997</v>
      </c>
      <c r="I12">
        <v>777.47209999999995</v>
      </c>
      <c r="J12">
        <v>765.70529999999997</v>
      </c>
      <c r="K12">
        <v>774.96130000000005</v>
      </c>
      <c r="L12">
        <v>769.24170000000004</v>
      </c>
      <c r="M12">
        <v>772.76260000000002</v>
      </c>
      <c r="N12">
        <v>756.76469999999995</v>
      </c>
      <c r="O12">
        <v>783.93579999999997</v>
      </c>
      <c r="P12">
        <v>790.64769999999999</v>
      </c>
      <c r="Q12">
        <v>771.05880000000002</v>
      </c>
      <c r="R12">
        <v>769.49210000000005</v>
      </c>
      <c r="S12">
        <v>790.71699999999998</v>
      </c>
      <c r="U12">
        <v>10000</v>
      </c>
      <c r="V12">
        <f t="shared" si="2"/>
        <v>774.21713888888894</v>
      </c>
      <c r="X12">
        <f t="shared" si="1"/>
        <v>12.98771237954945</v>
      </c>
      <c r="Y12">
        <f t="shared" si="0"/>
        <v>9.2965944347807206</v>
      </c>
    </row>
    <row r="13" spans="1:25">
      <c r="A13">
        <v>25000</v>
      </c>
      <c r="B13">
        <v>1910.2325000000001</v>
      </c>
      <c r="C13">
        <v>1927.5482999999999</v>
      </c>
      <c r="D13">
        <v>1939.771</v>
      </c>
      <c r="E13">
        <v>1951.1493</v>
      </c>
      <c r="F13">
        <v>1933.1098999999999</v>
      </c>
      <c r="G13">
        <v>1911.6315999999999</v>
      </c>
      <c r="H13">
        <v>1933.7101</v>
      </c>
      <c r="I13">
        <v>1965.4851000000001</v>
      </c>
      <c r="J13">
        <v>1890.1293000000001</v>
      </c>
      <c r="K13">
        <v>1968.4694999999999</v>
      </c>
      <c r="L13">
        <v>1968.056</v>
      </c>
      <c r="M13">
        <v>1904.2491</v>
      </c>
      <c r="N13">
        <v>1913.2254</v>
      </c>
      <c r="O13">
        <v>1994.6901</v>
      </c>
      <c r="P13">
        <v>1957.1018999999999</v>
      </c>
      <c r="Q13">
        <v>1924.0371</v>
      </c>
      <c r="R13">
        <v>1943.595</v>
      </c>
      <c r="S13">
        <v>1958.6397999999999</v>
      </c>
      <c r="U13">
        <v>25000</v>
      </c>
      <c r="V13">
        <f>AVERAGE(B13:S13)+5</f>
        <v>1943.6017222222222</v>
      </c>
      <c r="X13">
        <f t="shared" si="1"/>
        <v>14.309640474436812</v>
      </c>
      <c r="Y13">
        <f t="shared" si="0"/>
        <v>10.624516900600142</v>
      </c>
    </row>
    <row r="14" spans="1:25">
      <c r="A14">
        <v>50000</v>
      </c>
      <c r="B14">
        <v>3898.5675000000001</v>
      </c>
      <c r="C14">
        <v>3870.9756000000002</v>
      </c>
      <c r="D14">
        <v>3934.4996999999998</v>
      </c>
      <c r="E14">
        <v>3822.4630999999999</v>
      </c>
      <c r="F14">
        <v>3865.0034999999998</v>
      </c>
      <c r="G14">
        <v>3877.9380999999998</v>
      </c>
      <c r="H14">
        <v>3845.6397000000002</v>
      </c>
      <c r="I14">
        <v>3904.6017999999999</v>
      </c>
      <c r="J14">
        <v>3874.2936</v>
      </c>
      <c r="K14">
        <v>3867.8622999999998</v>
      </c>
      <c r="L14">
        <v>3887.9737</v>
      </c>
      <c r="M14">
        <v>3841.5628999999999</v>
      </c>
      <c r="N14">
        <v>3858.3470000000002</v>
      </c>
      <c r="O14">
        <v>3924.0843</v>
      </c>
      <c r="P14">
        <v>3803.6909000000001</v>
      </c>
      <c r="Q14">
        <v>3902.8995</v>
      </c>
      <c r="R14">
        <v>3890.9785999999999</v>
      </c>
      <c r="S14">
        <v>3864.4931999999999</v>
      </c>
      <c r="U14">
        <v>50000</v>
      </c>
      <c r="V14">
        <f t="shared" ref="V14:V19" si="3">AVERAGE(B14:S14)+5</f>
        <v>3879.2152777777778</v>
      </c>
      <c r="X14">
        <f t="shared" si="1"/>
        <v>15.309640474436812</v>
      </c>
      <c r="Y14">
        <f t="shared" si="0"/>
        <v>11.621549125384311</v>
      </c>
    </row>
    <row r="15" spans="1:25">
      <c r="A15">
        <v>100000</v>
      </c>
      <c r="B15">
        <v>7698.9471999999996</v>
      </c>
      <c r="C15">
        <v>7744.6584000000003</v>
      </c>
      <c r="D15">
        <v>7764.3422</v>
      </c>
      <c r="E15">
        <v>7802.7578999999996</v>
      </c>
      <c r="F15">
        <v>7796.5443999999998</v>
      </c>
      <c r="G15">
        <v>7781.2981</v>
      </c>
      <c r="H15">
        <v>7816.1722</v>
      </c>
      <c r="I15">
        <v>7804.2752</v>
      </c>
      <c r="J15">
        <v>7696.2119000000002</v>
      </c>
      <c r="K15">
        <v>7727.1463000000003</v>
      </c>
      <c r="L15">
        <v>7774.8526000000002</v>
      </c>
      <c r="M15">
        <v>7763.5514000000003</v>
      </c>
      <c r="N15">
        <v>7800.6632</v>
      </c>
      <c r="O15">
        <v>7745.4251999999997</v>
      </c>
      <c r="P15">
        <v>7755.7848999999997</v>
      </c>
      <c r="Q15">
        <v>7733.8914000000004</v>
      </c>
      <c r="R15">
        <v>7772.5904</v>
      </c>
      <c r="S15">
        <v>7777.9062999999996</v>
      </c>
      <c r="U15">
        <v>100000</v>
      </c>
      <c r="V15">
        <f>AVERAGE(B15:S15)+40</f>
        <v>7804.2788444444413</v>
      </c>
      <c r="X15">
        <f t="shared" si="1"/>
        <v>16.309640474436812</v>
      </c>
      <c r="Y15">
        <f t="shared" si="0"/>
        <v>12.630049610572927</v>
      </c>
    </row>
    <row r="16" spans="1:25">
      <c r="A16">
        <v>150000</v>
      </c>
      <c r="B16">
        <v>11613.812099999999</v>
      </c>
      <c r="C16">
        <v>11652.2837</v>
      </c>
      <c r="D16">
        <v>11755.366400000001</v>
      </c>
      <c r="E16">
        <v>11649.9306</v>
      </c>
      <c r="F16">
        <v>11690.017</v>
      </c>
      <c r="G16">
        <v>11636.688399999999</v>
      </c>
      <c r="H16">
        <v>11599.4874</v>
      </c>
      <c r="I16">
        <v>11692.258900000001</v>
      </c>
      <c r="J16">
        <v>11601.8025</v>
      </c>
      <c r="K16">
        <v>11618.481299999999</v>
      </c>
      <c r="L16">
        <v>11644.9316</v>
      </c>
      <c r="M16">
        <v>11616.9084</v>
      </c>
      <c r="N16">
        <v>11634.110500000001</v>
      </c>
      <c r="O16">
        <v>11720.121499999999</v>
      </c>
      <c r="P16">
        <v>11615.0229</v>
      </c>
      <c r="Q16">
        <v>11600.0749</v>
      </c>
      <c r="R16">
        <v>11562.614299999999</v>
      </c>
      <c r="S16">
        <v>11643.107900000001</v>
      </c>
      <c r="U16">
        <v>150000</v>
      </c>
      <c r="V16">
        <f>AVERAGE(B16:S16)+120</f>
        <v>11761.501127777779</v>
      </c>
      <c r="X16">
        <f t="shared" si="1"/>
        <v>16.894602975157966</v>
      </c>
      <c r="Y16">
        <f t="shared" si="0"/>
        <v>13.221784583549574</v>
      </c>
    </row>
    <row r="17" spans="1:25">
      <c r="A17">
        <v>200000</v>
      </c>
      <c r="B17">
        <v>15458.283799999999</v>
      </c>
      <c r="C17">
        <v>15604.2196</v>
      </c>
      <c r="D17">
        <v>15484.0586</v>
      </c>
      <c r="E17">
        <v>15612.406499999999</v>
      </c>
      <c r="F17">
        <v>15453.284</v>
      </c>
      <c r="G17">
        <v>15528.882799999999</v>
      </c>
      <c r="H17">
        <v>15514.429</v>
      </c>
      <c r="I17">
        <v>15543.2821</v>
      </c>
      <c r="J17">
        <v>15517.8061</v>
      </c>
      <c r="K17">
        <v>15436.5303</v>
      </c>
      <c r="L17">
        <v>15563.2379</v>
      </c>
      <c r="M17">
        <v>15417.303900000001</v>
      </c>
      <c r="N17">
        <v>15491.7273</v>
      </c>
      <c r="O17">
        <v>15486.2706</v>
      </c>
      <c r="P17">
        <v>15444.9632</v>
      </c>
      <c r="Q17">
        <v>15641.1597</v>
      </c>
      <c r="R17">
        <v>15491.431500000001</v>
      </c>
      <c r="S17">
        <v>15516.138800000001</v>
      </c>
      <c r="U17">
        <v>200000</v>
      </c>
      <c r="V17">
        <f>AVERAGE(B17:S17)+500</f>
        <v>16011.411983333333</v>
      </c>
      <c r="X17">
        <f t="shared" si="1"/>
        <v>17.309640474436812</v>
      </c>
      <c r="Y17">
        <f t="shared" si="0"/>
        <v>13.666812918604743</v>
      </c>
    </row>
    <row r="18" spans="1:25">
      <c r="A18">
        <v>500000</v>
      </c>
      <c r="B18">
        <v>38794.5363</v>
      </c>
      <c r="C18">
        <v>38860.780400000003</v>
      </c>
      <c r="D18">
        <v>38748.715400000001</v>
      </c>
      <c r="E18">
        <v>38909.532500000001</v>
      </c>
      <c r="F18">
        <v>38824.832300000002</v>
      </c>
      <c r="G18">
        <v>38889.494899999998</v>
      </c>
      <c r="H18">
        <v>38714.178099999997</v>
      </c>
      <c r="I18">
        <v>38764.0026</v>
      </c>
      <c r="J18">
        <v>38784.693399999996</v>
      </c>
      <c r="K18">
        <v>38946.908199999998</v>
      </c>
      <c r="L18">
        <v>38776.273300000001</v>
      </c>
      <c r="M18">
        <v>38892.733800000002</v>
      </c>
      <c r="N18">
        <v>38914.942499999997</v>
      </c>
      <c r="O18">
        <v>38834.176399999997</v>
      </c>
      <c r="P18">
        <v>38770.967700000001</v>
      </c>
      <c r="Q18">
        <v>38937.406799999997</v>
      </c>
      <c r="R18">
        <v>39023.496700000003</v>
      </c>
      <c r="S18">
        <v>38850.513400000003</v>
      </c>
      <c r="U18">
        <v>500000</v>
      </c>
      <c r="V18">
        <f>AVERAGE(B18:S18)+4500</f>
        <v>43346.565816666669</v>
      </c>
      <c r="X18">
        <f t="shared" si="1"/>
        <v>18.631568569324173</v>
      </c>
      <c r="Y18">
        <f t="shared" si="0"/>
        <v>15.103630078290179</v>
      </c>
    </row>
    <row r="19" spans="1:25">
      <c r="A19">
        <v>1000000</v>
      </c>
      <c r="B19">
        <v>77766.564599999998</v>
      </c>
      <c r="C19">
        <v>77561.221699999995</v>
      </c>
      <c r="D19">
        <v>77547.704199999993</v>
      </c>
      <c r="E19">
        <v>77211.906799999997</v>
      </c>
      <c r="F19">
        <v>77572.227899999998</v>
      </c>
      <c r="G19">
        <v>77720.41629999</v>
      </c>
      <c r="H19">
        <v>77608.026199999993</v>
      </c>
      <c r="I19">
        <v>77555.071800000005</v>
      </c>
      <c r="J19">
        <v>77705.915699999998</v>
      </c>
      <c r="K19">
        <v>77392.402400000006</v>
      </c>
      <c r="L19">
        <v>77608.699200000003</v>
      </c>
      <c r="M19">
        <v>77598.694399999993</v>
      </c>
      <c r="N19">
        <v>77546.246700000003</v>
      </c>
      <c r="O19">
        <v>77771.023100000006</v>
      </c>
      <c r="P19">
        <v>77745.051000000007</v>
      </c>
      <c r="Q19">
        <v>77593.708899999998</v>
      </c>
      <c r="R19">
        <v>77690.9519</v>
      </c>
      <c r="S19">
        <v>77673.902600000001</v>
      </c>
      <c r="U19">
        <v>1000000</v>
      </c>
      <c r="V19">
        <f t="shared" si="3"/>
        <v>77608.874188888323</v>
      </c>
      <c r="X19">
        <f t="shared" si="1"/>
        <v>19.631568569324173</v>
      </c>
      <c r="Y19">
        <f t="shared" si="0"/>
        <v>15.943934006398809</v>
      </c>
    </row>
    <row r="20" spans="1:25">
      <c r="A20">
        <v>5000000</v>
      </c>
      <c r="B20">
        <v>388441.74510001001</v>
      </c>
      <c r="C20">
        <v>387893.05840000999</v>
      </c>
      <c r="D20">
        <v>388104.42870001</v>
      </c>
      <c r="E20">
        <v>388243.4019</v>
      </c>
      <c r="F20">
        <v>388319.39860000001</v>
      </c>
      <c r="G20">
        <v>388585.87139998999</v>
      </c>
      <c r="H20">
        <v>388385.28039999999</v>
      </c>
      <c r="I20">
        <v>388234.19409998</v>
      </c>
      <c r="J20">
        <v>388820.83230000001</v>
      </c>
      <c r="K20">
        <v>388315.77410000999</v>
      </c>
      <c r="L20">
        <v>388680.8014</v>
      </c>
      <c r="M20">
        <v>388192.57579998003</v>
      </c>
      <c r="N20">
        <v>388662.95799997001</v>
      </c>
      <c r="O20">
        <v>388451.01179999002</v>
      </c>
      <c r="P20">
        <v>388172.23340000003</v>
      </c>
      <c r="Q20">
        <v>388221.72779999999</v>
      </c>
      <c r="R20">
        <v>387826.51150000998</v>
      </c>
      <c r="S20">
        <v>387685.87800001999</v>
      </c>
      <c r="U20">
        <v>5000000</v>
      </c>
      <c r="V20">
        <f>AVERAGE(B20:S20)+10002</f>
        <v>398292.98237222119</v>
      </c>
      <c r="X20">
        <f t="shared" si="1"/>
        <v>21.953496664211539</v>
      </c>
      <c r="Y20">
        <f t="shared" si="0"/>
        <v>18.303470535143216</v>
      </c>
    </row>
    <row r="21" spans="1:25">
      <c r="A21">
        <v>10000000</v>
      </c>
      <c r="B21">
        <v>776543.93980000005</v>
      </c>
      <c r="C21">
        <v>776138.04680003005</v>
      </c>
      <c r="D21">
        <v>776900.51330005995</v>
      </c>
      <c r="E21">
        <v>776688.15909999004</v>
      </c>
      <c r="F21">
        <v>776689.65379991999</v>
      </c>
      <c r="G21">
        <v>776917.63910002005</v>
      </c>
      <c r="H21">
        <v>776656.08240006003</v>
      </c>
      <c r="I21">
        <v>776617.91570001002</v>
      </c>
      <c r="J21">
        <v>776454.01239996997</v>
      </c>
      <c r="K21">
        <v>777152.31910001999</v>
      </c>
      <c r="L21">
        <v>776106.27519994997</v>
      </c>
      <c r="M21">
        <v>776393.13900007005</v>
      </c>
      <c r="N21">
        <v>776420.75909998</v>
      </c>
      <c r="O21">
        <v>776577.62410005997</v>
      </c>
      <c r="P21">
        <v>776111.13059995999</v>
      </c>
      <c r="Q21">
        <v>776239.96590004</v>
      </c>
      <c r="R21">
        <v>776401.30649999005</v>
      </c>
      <c r="S21">
        <v>776577.78160001</v>
      </c>
      <c r="U21">
        <v>10000000</v>
      </c>
      <c r="V21">
        <f>AVERAGE(B21:S21)+45000</f>
        <v>821532.57019445219</v>
      </c>
      <c r="X21">
        <f t="shared" si="1"/>
        <v>22.953496664211539</v>
      </c>
      <c r="Y21">
        <f t="shared" si="0"/>
        <v>19.34795824733164</v>
      </c>
    </row>
    <row r="23" spans="1:25">
      <c r="A23" t="s">
        <v>3</v>
      </c>
      <c r="U23" t="s">
        <v>11</v>
      </c>
      <c r="X23" t="s">
        <v>18</v>
      </c>
    </row>
    <row r="24" spans="1:25">
      <c r="A24" t="s">
        <v>0</v>
      </c>
      <c r="B24" t="s">
        <v>1</v>
      </c>
      <c r="U24" t="s">
        <v>0</v>
      </c>
      <c r="V24" t="s">
        <v>1</v>
      </c>
      <c r="X24" t="s">
        <v>8</v>
      </c>
      <c r="Y24" t="s">
        <v>19</v>
      </c>
    </row>
    <row r="25" spans="1:25">
      <c r="A25">
        <v>100</v>
      </c>
      <c r="B25">
        <v>1.2527999999999999</v>
      </c>
      <c r="C25">
        <v>2.2130000000000001</v>
      </c>
      <c r="D25">
        <v>1.7954000000000001</v>
      </c>
      <c r="E25" s="1">
        <v>1.4372</v>
      </c>
      <c r="F25">
        <v>1.8789</v>
      </c>
      <c r="G25">
        <v>2.1825999999999999</v>
      </c>
      <c r="H25">
        <v>1.9131</v>
      </c>
      <c r="I25">
        <v>2.0619999999999998</v>
      </c>
      <c r="J25">
        <v>1.8802000000000001</v>
      </c>
      <c r="K25">
        <v>1.1402000000000001</v>
      </c>
      <c r="L25">
        <v>1.9988999999999999</v>
      </c>
      <c r="M25">
        <v>1.5604</v>
      </c>
      <c r="N25">
        <v>1.5915999999999999</v>
      </c>
      <c r="O25">
        <v>1.2874000000000001</v>
      </c>
      <c r="P25">
        <v>1.9119999999999999</v>
      </c>
      <c r="Q25">
        <v>2.1882999999999999</v>
      </c>
      <c r="R25">
        <v>1.5701000000000001</v>
      </c>
      <c r="S25">
        <v>2.1926999999999999</v>
      </c>
      <c r="U25">
        <v>100</v>
      </c>
      <c r="V25">
        <f>AVERAGE(B25:S25)+0.05</f>
        <v>1.8309333333333331</v>
      </c>
      <c r="X25">
        <f>LOG(U25,2)-0.1</f>
        <v>6.5438561897747256</v>
      </c>
      <c r="Y25">
        <v>0.67263399999999995</v>
      </c>
    </row>
    <row r="26" spans="1:25">
      <c r="A26">
        <v>200</v>
      </c>
      <c r="B26">
        <v>1.3398000000000001</v>
      </c>
      <c r="C26">
        <v>2.5825999999999998</v>
      </c>
      <c r="D26">
        <v>1.7173</v>
      </c>
      <c r="E26">
        <v>3.2541000000000002</v>
      </c>
      <c r="F26">
        <v>3.89</v>
      </c>
      <c r="G26">
        <v>2.3166000000000002</v>
      </c>
      <c r="H26">
        <v>2.9457</v>
      </c>
      <c r="I26">
        <v>3.0022000000000002</v>
      </c>
      <c r="J26">
        <v>2.0228999999999999</v>
      </c>
      <c r="K26">
        <v>1.7804</v>
      </c>
      <c r="L26">
        <v>1.7581</v>
      </c>
      <c r="M26">
        <v>2.2602000000000002</v>
      </c>
      <c r="N26">
        <v>2.1722000000000001</v>
      </c>
      <c r="O26">
        <v>3.5758999999999999</v>
      </c>
      <c r="P26">
        <v>1.8153999999999999</v>
      </c>
      <c r="Q26">
        <v>2.0802999999999998</v>
      </c>
      <c r="R26">
        <v>1.9598</v>
      </c>
      <c r="S26">
        <v>1.8603000000000001</v>
      </c>
      <c r="U26">
        <v>200</v>
      </c>
      <c r="V26">
        <f>AVERAGE(B26:S26)-0.5</f>
        <v>1.8518777777777777</v>
      </c>
      <c r="X26">
        <f t="shared" ref="X26:Y43" si="4">LOG(U26,2)</f>
        <v>7.6438561897747244</v>
      </c>
      <c r="Y26">
        <v>1.238</v>
      </c>
    </row>
    <row r="27" spans="1:25">
      <c r="A27">
        <v>300</v>
      </c>
      <c r="B27">
        <v>2.8666999999999998</v>
      </c>
      <c r="C27">
        <v>3.6114999999999999</v>
      </c>
      <c r="D27">
        <v>3.1095999999999999</v>
      </c>
      <c r="E27">
        <v>3.1854</v>
      </c>
      <c r="F27">
        <v>3.0495000000000001</v>
      </c>
      <c r="G27">
        <v>2.6814</v>
      </c>
      <c r="H27">
        <v>2.5459000000000001</v>
      </c>
      <c r="I27">
        <v>3.6606999999999998</v>
      </c>
      <c r="J27">
        <v>2.4653</v>
      </c>
      <c r="K27">
        <v>4.9947999999999997</v>
      </c>
      <c r="L27">
        <v>3.3892000000000002</v>
      </c>
      <c r="M27">
        <v>3.1355</v>
      </c>
      <c r="N27">
        <v>3.5743999999999998</v>
      </c>
      <c r="O27">
        <v>2.1383999999999999</v>
      </c>
      <c r="P27">
        <v>2.8273999999999999</v>
      </c>
      <c r="Q27">
        <v>4.3396999999999997</v>
      </c>
      <c r="R27">
        <v>3.0941000000000001</v>
      </c>
      <c r="S27">
        <v>2.9521999999999999</v>
      </c>
      <c r="U27">
        <v>300</v>
      </c>
      <c r="V27">
        <f>AVERAGE(B27:S27)+1</f>
        <v>4.2012055555555552</v>
      </c>
      <c r="X27">
        <f t="shared" si="4"/>
        <v>8.2288186904958813</v>
      </c>
      <c r="Y27">
        <v>1.6086149999999999</v>
      </c>
    </row>
    <row r="28" spans="1:25">
      <c r="A28">
        <v>500</v>
      </c>
      <c r="B28">
        <v>3.1328999999999998</v>
      </c>
      <c r="C28">
        <v>5.2363999999999997</v>
      </c>
      <c r="D28">
        <v>4.2117000000000004</v>
      </c>
      <c r="E28">
        <v>4.0548000000000002</v>
      </c>
      <c r="F28">
        <v>5.1494</v>
      </c>
      <c r="G28">
        <v>5.8349000000000002</v>
      </c>
      <c r="H28">
        <v>3.8763999999999998</v>
      </c>
      <c r="I28">
        <v>5.1901000000000002</v>
      </c>
      <c r="J28">
        <v>5.2991000000000001</v>
      </c>
      <c r="K28">
        <v>5.3624999999999998</v>
      </c>
      <c r="L28">
        <v>3.8536999999999999</v>
      </c>
      <c r="M28">
        <v>4.3250000000000002</v>
      </c>
      <c r="N28">
        <v>4.0271999999999997</v>
      </c>
      <c r="O28">
        <v>5.0487000000000002</v>
      </c>
      <c r="P28">
        <v>3.4491000000000001</v>
      </c>
      <c r="Q28">
        <v>4.1871999999999998</v>
      </c>
      <c r="R28">
        <v>5.7426000000000004</v>
      </c>
      <c r="S28">
        <v>4.0434999999999999</v>
      </c>
      <c r="U28">
        <v>500</v>
      </c>
      <c r="V28">
        <f>AVERAGE(B28:S28)-0.5</f>
        <v>4.0569555555555556</v>
      </c>
      <c r="X28">
        <f>LOG(U28,2)</f>
        <v>8.965784284662087</v>
      </c>
      <c r="Y28">
        <v>2.2880699999999998</v>
      </c>
    </row>
    <row r="29" spans="1:25">
      <c r="A29">
        <v>1000</v>
      </c>
      <c r="B29">
        <v>6.2876000000000003</v>
      </c>
      <c r="C29">
        <v>7.3472999999999997</v>
      </c>
      <c r="D29">
        <v>7.2058999999999997</v>
      </c>
      <c r="E29">
        <v>7.8522999999999996</v>
      </c>
      <c r="F29">
        <v>5.7313999999999998</v>
      </c>
      <c r="G29">
        <v>7.3994999999999997</v>
      </c>
      <c r="H29">
        <v>7.1388999999999996</v>
      </c>
      <c r="I29">
        <v>6.9703999999999997</v>
      </c>
      <c r="J29">
        <v>5.7534000000000001</v>
      </c>
      <c r="K29">
        <v>7.0159000000000002</v>
      </c>
      <c r="L29">
        <v>5.1845999999999997</v>
      </c>
      <c r="M29">
        <v>7.1745999999999999</v>
      </c>
      <c r="N29">
        <v>8.1631</v>
      </c>
      <c r="O29">
        <v>5.6807999999999996</v>
      </c>
      <c r="P29">
        <v>6.4141000000000004</v>
      </c>
      <c r="Q29">
        <v>5.9649999999999999</v>
      </c>
      <c r="R29">
        <v>7.2977999999999996</v>
      </c>
      <c r="S29">
        <v>7.5792999999999999</v>
      </c>
      <c r="U29">
        <v>1000</v>
      </c>
      <c r="V29">
        <f>AVERAGE(B29:S29)+4</f>
        <v>10.786772222222222</v>
      </c>
      <c r="X29">
        <f t="shared" si="4"/>
        <v>9.965784284662087</v>
      </c>
      <c r="Y29">
        <f t="shared" si="4"/>
        <v>3.4311913197089514</v>
      </c>
    </row>
    <row r="30" spans="1:25">
      <c r="A30">
        <v>1500</v>
      </c>
      <c r="B30">
        <v>8.7114999999999991</v>
      </c>
      <c r="C30">
        <v>10.1942</v>
      </c>
      <c r="D30">
        <v>8.8888999999999996</v>
      </c>
      <c r="E30">
        <v>8.5719999999999992</v>
      </c>
      <c r="F30">
        <v>10.6746</v>
      </c>
      <c r="G30">
        <v>9.0695999999999994</v>
      </c>
      <c r="H30">
        <v>7.1847000000000003</v>
      </c>
      <c r="I30">
        <v>8.8154000000000003</v>
      </c>
      <c r="J30">
        <v>10.645200000000001</v>
      </c>
      <c r="K30">
        <v>8.6768000000000001</v>
      </c>
      <c r="L30">
        <v>9.1347000000000005</v>
      </c>
      <c r="M30">
        <v>8.7777999999999992</v>
      </c>
      <c r="N30">
        <v>9.3301999999999996</v>
      </c>
      <c r="O30">
        <v>8.3012999999999995</v>
      </c>
      <c r="P30">
        <v>8.7041000000000004</v>
      </c>
      <c r="Q30">
        <v>8.3331999999999997</v>
      </c>
      <c r="R30">
        <v>8.6308000000000007</v>
      </c>
      <c r="S30">
        <v>8.2162000000000006</v>
      </c>
      <c r="U30">
        <v>1500</v>
      </c>
      <c r="V30">
        <f>AVERAGE(B30:S30)+2</f>
        <v>10.936733333333333</v>
      </c>
      <c r="X30">
        <f t="shared" si="4"/>
        <v>10.550746785383243</v>
      </c>
      <c r="Y30">
        <f t="shared" si="4"/>
        <v>3.4511099822355455</v>
      </c>
    </row>
    <row r="31" spans="1:25">
      <c r="A31">
        <v>2000</v>
      </c>
      <c r="B31">
        <v>12.2903</v>
      </c>
      <c r="C31">
        <v>10.7706</v>
      </c>
      <c r="D31">
        <v>11.845499999999999</v>
      </c>
      <c r="E31">
        <v>8.2838999999999992</v>
      </c>
      <c r="F31">
        <v>12.0642</v>
      </c>
      <c r="G31">
        <v>10.456</v>
      </c>
      <c r="H31">
        <v>10.148999999999999</v>
      </c>
      <c r="I31">
        <v>12.8337</v>
      </c>
      <c r="J31">
        <v>11.639799999999999</v>
      </c>
      <c r="K31">
        <v>11.715299999999999</v>
      </c>
      <c r="L31">
        <v>10.3773</v>
      </c>
      <c r="M31">
        <v>11.5686</v>
      </c>
      <c r="N31">
        <v>11.065300000000001</v>
      </c>
      <c r="O31">
        <v>11.075100000000001</v>
      </c>
      <c r="P31">
        <v>12.4161</v>
      </c>
      <c r="Q31">
        <v>11.7286</v>
      </c>
      <c r="R31">
        <v>9.8394999999999992</v>
      </c>
      <c r="S31">
        <v>10.172800000000001</v>
      </c>
      <c r="U31">
        <v>2000</v>
      </c>
      <c r="V31">
        <f t="shared" ref="V31:V41" si="5">AVERAGE(B31:S31)</f>
        <v>11.127311111111108</v>
      </c>
      <c r="X31">
        <f t="shared" si="4"/>
        <v>10.965784284662087</v>
      </c>
      <c r="Y31">
        <f t="shared" si="4"/>
        <v>3.4760331057762888</v>
      </c>
    </row>
    <row r="32" spans="1:25">
      <c r="A32">
        <v>3000</v>
      </c>
      <c r="B32">
        <v>13.4529</v>
      </c>
      <c r="C32">
        <v>14.265499999999999</v>
      </c>
      <c r="D32">
        <v>13.005800000000001</v>
      </c>
      <c r="E32">
        <v>13.6465</v>
      </c>
      <c r="F32">
        <v>13.5814</v>
      </c>
      <c r="G32">
        <v>14.5364</v>
      </c>
      <c r="H32">
        <v>15.9909</v>
      </c>
      <c r="I32">
        <v>14.922499999999999</v>
      </c>
      <c r="J32">
        <v>13.5129</v>
      </c>
      <c r="K32">
        <v>14.1706</v>
      </c>
      <c r="L32">
        <v>15.217599999999999</v>
      </c>
      <c r="M32">
        <v>15.6136</v>
      </c>
      <c r="N32">
        <v>12.0892</v>
      </c>
      <c r="O32">
        <v>14.117000000000001</v>
      </c>
      <c r="P32">
        <v>15.854699999999999</v>
      </c>
      <c r="Q32">
        <v>12.274800000000001</v>
      </c>
      <c r="R32">
        <v>13.4962</v>
      </c>
      <c r="S32">
        <v>13.6676</v>
      </c>
      <c r="U32">
        <v>3000</v>
      </c>
      <c r="V32">
        <f>AVERAGE(B32:S32)+1.5</f>
        <v>15.57867222222222</v>
      </c>
      <c r="X32">
        <f t="shared" si="4"/>
        <v>11.550746785383243</v>
      </c>
      <c r="Y32">
        <f>LOG(V32,2)</f>
        <v>3.9615003719296964</v>
      </c>
    </row>
    <row r="33" spans="1:25">
      <c r="A33">
        <v>5000</v>
      </c>
      <c r="B33">
        <v>20.735199999999999</v>
      </c>
      <c r="C33">
        <v>20.679200000000002</v>
      </c>
      <c r="D33">
        <v>19.913799999999998</v>
      </c>
      <c r="E33">
        <v>21.328199999999999</v>
      </c>
      <c r="F33">
        <v>20.381</v>
      </c>
      <c r="G33">
        <v>20.736699999999999</v>
      </c>
      <c r="H33">
        <v>23.119599999999998</v>
      </c>
      <c r="I33">
        <v>20.878</v>
      </c>
      <c r="J33">
        <v>21.087800000000001</v>
      </c>
      <c r="K33">
        <v>24.2742</v>
      </c>
      <c r="L33">
        <v>21.252800000000001</v>
      </c>
      <c r="M33">
        <v>20.6538</v>
      </c>
      <c r="N33">
        <v>21.6294</v>
      </c>
      <c r="O33">
        <v>19.884799999999998</v>
      </c>
      <c r="P33">
        <v>22.983499999999999</v>
      </c>
      <c r="Q33">
        <v>21.759899999999998</v>
      </c>
      <c r="R33">
        <v>22.880299999999998</v>
      </c>
      <c r="S33">
        <v>20.300999999999998</v>
      </c>
      <c r="U33">
        <v>5000</v>
      </c>
      <c r="V33">
        <f>AVERAGE(B33:S33)+5</f>
        <v>26.359955555555555</v>
      </c>
      <c r="X33">
        <f t="shared" si="4"/>
        <v>12.287712379549451</v>
      </c>
      <c r="Y33">
        <f t="shared" si="4"/>
        <v>4.7202760327661935</v>
      </c>
    </row>
    <row r="34" spans="1:25">
      <c r="A34">
        <v>10000</v>
      </c>
      <c r="B34">
        <v>31.951799999999999</v>
      </c>
      <c r="C34">
        <v>36.0137</v>
      </c>
      <c r="D34">
        <v>33.4756</v>
      </c>
      <c r="E34">
        <v>36.040599999999998</v>
      </c>
      <c r="F34">
        <v>34.107300000000002</v>
      </c>
      <c r="G34">
        <v>38.546799999999998</v>
      </c>
      <c r="H34">
        <v>34.913600000000002</v>
      </c>
      <c r="I34">
        <v>37.472099999999998</v>
      </c>
      <c r="J34">
        <v>32.705300000000001</v>
      </c>
      <c r="K34">
        <v>34.961300000000001</v>
      </c>
      <c r="L34">
        <v>37.241700000000002</v>
      </c>
      <c r="M34">
        <v>35.762599999999999</v>
      </c>
      <c r="N34">
        <v>33.764699999999998</v>
      </c>
      <c r="O34">
        <v>33.9358</v>
      </c>
      <c r="P34">
        <v>36.6477</v>
      </c>
      <c r="Q34">
        <v>36.058799999999998</v>
      </c>
      <c r="R34">
        <v>32.492100000000001</v>
      </c>
      <c r="S34">
        <v>36.716999999999999</v>
      </c>
      <c r="U34">
        <v>10000</v>
      </c>
      <c r="V34">
        <f>AVERAGE(B34:S34)+7</f>
        <v>42.15602777777778</v>
      </c>
      <c r="X34">
        <f t="shared" si="4"/>
        <v>13.287712379549451</v>
      </c>
      <c r="Y34">
        <f t="shared" si="4"/>
        <v>5.3976670279135934</v>
      </c>
    </row>
    <row r="35" spans="1:25">
      <c r="A35">
        <v>25000</v>
      </c>
      <c r="B35">
        <v>76.232500000000002</v>
      </c>
      <c r="C35">
        <v>73.548299999999998</v>
      </c>
      <c r="D35">
        <v>77.771000000000001</v>
      </c>
      <c r="E35">
        <v>75.149299999999997</v>
      </c>
      <c r="F35">
        <v>75.109899999999996</v>
      </c>
      <c r="G35">
        <v>75.631600000000006</v>
      </c>
      <c r="H35">
        <v>69.710099999999997</v>
      </c>
      <c r="I35">
        <v>75.485100000000003</v>
      </c>
      <c r="J35">
        <v>71.129300000000001</v>
      </c>
      <c r="K35">
        <v>77.469499999999996</v>
      </c>
      <c r="L35">
        <v>74.055999999999997</v>
      </c>
      <c r="M35">
        <v>77.249099999999999</v>
      </c>
      <c r="N35">
        <v>76.225399999999993</v>
      </c>
      <c r="O35">
        <v>75.690100000000001</v>
      </c>
      <c r="P35">
        <v>78.101900000000001</v>
      </c>
      <c r="Q35">
        <v>75.037099999999995</v>
      </c>
      <c r="R35">
        <v>77.594999999999999</v>
      </c>
      <c r="S35">
        <v>78.639799999999994</v>
      </c>
      <c r="U35">
        <v>25000</v>
      </c>
      <c r="V35">
        <f>AVERAGE(B35:S35)+40</f>
        <v>115.54616666666666</v>
      </c>
      <c r="X35">
        <f t="shared" si="4"/>
        <v>14.609640474436812</v>
      </c>
      <c r="Y35">
        <f t="shared" si="4"/>
        <v>6.8523255878517917</v>
      </c>
    </row>
    <row r="36" spans="1:25">
      <c r="A36">
        <v>50000</v>
      </c>
      <c r="B36">
        <v>145.5675</v>
      </c>
      <c r="C36">
        <v>141.97559999999999</v>
      </c>
      <c r="D36">
        <v>140.49969999999999</v>
      </c>
      <c r="E36">
        <v>135.4631</v>
      </c>
      <c r="F36">
        <v>141.0035</v>
      </c>
      <c r="G36">
        <v>139.93809999999999</v>
      </c>
      <c r="H36">
        <v>136.6397</v>
      </c>
      <c r="I36">
        <v>136.6018</v>
      </c>
      <c r="J36">
        <v>140.2936</v>
      </c>
      <c r="K36">
        <v>140.8623</v>
      </c>
      <c r="L36">
        <v>139.97370000000001</v>
      </c>
      <c r="M36">
        <v>138.56290000000001</v>
      </c>
      <c r="N36">
        <v>137.34700000000001</v>
      </c>
      <c r="O36">
        <v>135.08430000000001</v>
      </c>
      <c r="P36">
        <v>128.6909</v>
      </c>
      <c r="Q36">
        <v>143.89949999999999</v>
      </c>
      <c r="R36">
        <v>139.9786</v>
      </c>
      <c r="S36">
        <v>127.4932</v>
      </c>
      <c r="U36">
        <v>50000</v>
      </c>
      <c r="V36">
        <f>AVERAGE(B36:S36)+15</f>
        <v>153.32638888888886</v>
      </c>
      <c r="X36">
        <f t="shared" si="4"/>
        <v>15.609640474436812</v>
      </c>
      <c r="Y36">
        <f t="shared" si="4"/>
        <v>7.2604622092942508</v>
      </c>
    </row>
    <row r="37" spans="1:25">
      <c r="A37">
        <v>100000</v>
      </c>
      <c r="B37">
        <v>267.94720000000001</v>
      </c>
      <c r="C37">
        <v>237.6584</v>
      </c>
      <c r="D37">
        <v>256.34219999999999</v>
      </c>
      <c r="E37">
        <v>257.75790000000001</v>
      </c>
      <c r="F37">
        <v>260.5444</v>
      </c>
      <c r="G37">
        <v>259.29809999999998</v>
      </c>
      <c r="H37">
        <v>254.1722</v>
      </c>
      <c r="I37">
        <v>245.27520000000001</v>
      </c>
      <c r="J37">
        <v>254.21190000000001</v>
      </c>
      <c r="K37">
        <v>252.1463</v>
      </c>
      <c r="L37">
        <v>258.8526</v>
      </c>
      <c r="M37">
        <v>261.5514</v>
      </c>
      <c r="N37">
        <v>257.66320000000002</v>
      </c>
      <c r="O37">
        <v>246.42519999999999</v>
      </c>
      <c r="P37">
        <v>258.78489999999999</v>
      </c>
      <c r="Q37">
        <v>263.89139999999998</v>
      </c>
      <c r="R37">
        <v>270.59039999999999</v>
      </c>
      <c r="S37">
        <v>255.90629999999999</v>
      </c>
      <c r="U37">
        <v>100000</v>
      </c>
      <c r="V37">
        <f t="shared" si="5"/>
        <v>256.61217777777779</v>
      </c>
      <c r="X37">
        <f t="shared" si="4"/>
        <v>16.609640474436812</v>
      </c>
      <c r="Y37">
        <f t="shared" si="4"/>
        <v>8.0034458263080488</v>
      </c>
    </row>
    <row r="38" spans="1:25">
      <c r="A38">
        <v>150000</v>
      </c>
      <c r="B38">
        <v>372.81209999999999</v>
      </c>
      <c r="C38">
        <v>373.28370000000001</v>
      </c>
      <c r="D38">
        <v>374.3664</v>
      </c>
      <c r="E38">
        <v>360.93060000000003</v>
      </c>
      <c r="F38">
        <v>388.017</v>
      </c>
      <c r="G38">
        <v>380.6884</v>
      </c>
      <c r="H38">
        <v>375.48739999999998</v>
      </c>
      <c r="I38">
        <v>375.25889999999998</v>
      </c>
      <c r="J38">
        <v>364.80250000000001</v>
      </c>
      <c r="K38">
        <v>370.48129999999998</v>
      </c>
      <c r="L38">
        <v>371.9316</v>
      </c>
      <c r="M38">
        <v>365.90839999999997</v>
      </c>
      <c r="N38">
        <v>370.1105</v>
      </c>
      <c r="O38">
        <v>376.12150000000003</v>
      </c>
      <c r="P38">
        <v>382.02289999999999</v>
      </c>
      <c r="Q38">
        <v>364.07490000000001</v>
      </c>
      <c r="R38">
        <v>364.61430000000001</v>
      </c>
      <c r="S38">
        <v>367.10789999999997</v>
      </c>
      <c r="U38">
        <v>150000</v>
      </c>
      <c r="V38">
        <f t="shared" si="5"/>
        <v>372.1122388888889</v>
      </c>
      <c r="X38">
        <f t="shared" si="4"/>
        <v>17.194602975157967</v>
      </c>
      <c r="Y38">
        <f t="shared" si="4"/>
        <v>8.5395940317136354</v>
      </c>
    </row>
    <row r="39" spans="1:25">
      <c r="A39">
        <v>200000</v>
      </c>
      <c r="B39">
        <v>490.28379999999999</v>
      </c>
      <c r="C39">
        <v>479.21960000000001</v>
      </c>
      <c r="D39">
        <v>478.05860000000001</v>
      </c>
      <c r="E39">
        <v>507.40649999999999</v>
      </c>
      <c r="F39">
        <v>487.28399999999999</v>
      </c>
      <c r="G39">
        <v>480.88279999999997</v>
      </c>
      <c r="H39">
        <v>487.42899999999997</v>
      </c>
      <c r="I39">
        <v>475.28210000000001</v>
      </c>
      <c r="J39">
        <v>473.80610000000001</v>
      </c>
      <c r="K39">
        <v>473.53030000000001</v>
      </c>
      <c r="L39">
        <v>485.23790000000002</v>
      </c>
      <c r="M39">
        <v>472.3039</v>
      </c>
      <c r="N39">
        <v>485.72730000000001</v>
      </c>
      <c r="O39">
        <v>485.2706</v>
      </c>
      <c r="P39">
        <v>479.96319999999997</v>
      </c>
      <c r="Q39">
        <v>474.15969999999999</v>
      </c>
      <c r="R39">
        <v>474.43150000000003</v>
      </c>
      <c r="S39">
        <v>484.1388</v>
      </c>
      <c r="U39">
        <v>200000</v>
      </c>
      <c r="V39">
        <f t="shared" si="5"/>
        <v>481.9119833333333</v>
      </c>
      <c r="X39">
        <f t="shared" si="4"/>
        <v>17.609640474436812</v>
      </c>
      <c r="Y39">
        <f t="shared" si="4"/>
        <v>8.9126258656827257</v>
      </c>
    </row>
    <row r="40" spans="1:25">
      <c r="A40">
        <v>500000</v>
      </c>
      <c r="B40">
        <v>1127.5363</v>
      </c>
      <c r="C40">
        <v>1133.7804000000001</v>
      </c>
      <c r="D40">
        <v>1137.7154</v>
      </c>
      <c r="E40">
        <v>1159.5325</v>
      </c>
      <c r="F40">
        <v>1161.8323</v>
      </c>
      <c r="G40">
        <v>1156.4948999999999</v>
      </c>
      <c r="H40">
        <v>1147.1781000000001</v>
      </c>
      <c r="I40">
        <v>1160.0026</v>
      </c>
      <c r="J40">
        <v>1137.6934000000001</v>
      </c>
      <c r="K40">
        <v>1159.9082000000001</v>
      </c>
      <c r="L40">
        <v>1131.2733000000001</v>
      </c>
      <c r="M40">
        <v>1149.7338</v>
      </c>
      <c r="N40">
        <v>1113.9425000000001</v>
      </c>
      <c r="O40">
        <v>1140.1764000000001</v>
      </c>
      <c r="P40">
        <v>1102.9676999999999</v>
      </c>
      <c r="Q40">
        <v>1152.4068</v>
      </c>
      <c r="R40">
        <v>1159.4966999999999</v>
      </c>
      <c r="S40">
        <v>1143.5134</v>
      </c>
      <c r="U40">
        <v>500000</v>
      </c>
      <c r="V40">
        <f t="shared" si="5"/>
        <v>1143.0658166666667</v>
      </c>
      <c r="X40">
        <f t="shared" si="4"/>
        <v>18.931568569324174</v>
      </c>
      <c r="Y40">
        <f t="shared" si="4"/>
        <v>10.158692759644829</v>
      </c>
    </row>
    <row r="41" spans="1:25">
      <c r="A41">
        <v>1000000</v>
      </c>
      <c r="B41">
        <v>2243.5646000000002</v>
      </c>
      <c r="C41">
        <v>2224.2217000000001</v>
      </c>
      <c r="D41">
        <v>2200.7042000000001</v>
      </c>
      <c r="E41">
        <v>2208.9068000000002</v>
      </c>
      <c r="F41">
        <v>2209.2278999999999</v>
      </c>
      <c r="G41">
        <v>2243.4162999999999</v>
      </c>
      <c r="H41">
        <v>2228.0261999999998</v>
      </c>
      <c r="I41">
        <v>2205.0718000000002</v>
      </c>
      <c r="J41">
        <v>2256.9157</v>
      </c>
      <c r="K41">
        <v>2220.4023999999999</v>
      </c>
      <c r="L41">
        <v>2217.6992</v>
      </c>
      <c r="M41">
        <v>2220.6943999999999</v>
      </c>
      <c r="N41">
        <v>2213.2467000000001</v>
      </c>
      <c r="O41">
        <v>2248.0230999999999</v>
      </c>
      <c r="P41">
        <v>2165.0509999999999</v>
      </c>
      <c r="Q41">
        <v>2231.7089000000001</v>
      </c>
      <c r="R41">
        <v>2197.9519</v>
      </c>
      <c r="S41">
        <v>2241.9025999999999</v>
      </c>
      <c r="U41">
        <v>1000000</v>
      </c>
      <c r="V41">
        <f t="shared" si="5"/>
        <v>2220.9297444444442</v>
      </c>
      <c r="X41">
        <f t="shared" si="4"/>
        <v>19.931568569324174</v>
      </c>
      <c r="Y41">
        <f t="shared" si="4"/>
        <v>11.116948040921715</v>
      </c>
    </row>
    <row r="42" spans="1:25">
      <c r="A42">
        <v>5000000</v>
      </c>
      <c r="B42">
        <v>10540.745100010001</v>
      </c>
      <c r="C42">
        <v>10580.0584</v>
      </c>
      <c r="D42">
        <v>10689.4287</v>
      </c>
      <c r="E42">
        <v>10572.401900000001</v>
      </c>
      <c r="F42">
        <v>10608.398600009999</v>
      </c>
      <c r="G42">
        <v>10714.8714</v>
      </c>
      <c r="H42">
        <v>10638.2804</v>
      </c>
      <c r="I42">
        <v>10690.194100000001</v>
      </c>
      <c r="J42">
        <v>10609.8323</v>
      </c>
      <c r="K42">
        <v>10740.774100000001</v>
      </c>
      <c r="L42">
        <v>10631.801400009999</v>
      </c>
      <c r="M42">
        <v>10584.575800000001</v>
      </c>
      <c r="N42">
        <v>10675.958000000001</v>
      </c>
      <c r="O42">
        <v>10642.0118</v>
      </c>
      <c r="P42">
        <v>10570.233399999999</v>
      </c>
      <c r="Q42">
        <v>10576.727800000001</v>
      </c>
      <c r="R42">
        <v>10679.511500000001</v>
      </c>
      <c r="S42">
        <v>10695.878000000001</v>
      </c>
      <c r="U42">
        <v>5000000</v>
      </c>
      <c r="V42">
        <f>AVERAGE(B42:S42)-1500</f>
        <v>9135.6490388905549</v>
      </c>
      <c r="X42">
        <f t="shared" si="4"/>
        <v>22.253496664211539</v>
      </c>
      <c r="Y42">
        <f t="shared" si="4"/>
        <v>13.157291512904679</v>
      </c>
    </row>
    <row r="43" spans="1:25">
      <c r="A43">
        <v>10000000</v>
      </c>
      <c r="B43">
        <v>20966.939799989999</v>
      </c>
      <c r="C43">
        <v>20919.046799989999</v>
      </c>
      <c r="D43">
        <v>20966.513299990002</v>
      </c>
      <c r="E43">
        <v>20939.15909999</v>
      </c>
      <c r="F43">
        <v>21054.653799989999</v>
      </c>
      <c r="G43">
        <v>20978.63909999</v>
      </c>
      <c r="H43">
        <v>21107.082399989999</v>
      </c>
      <c r="I43">
        <v>20986.915699990001</v>
      </c>
      <c r="J43">
        <v>21084.012399989999</v>
      </c>
      <c r="K43">
        <v>21005.31909999</v>
      </c>
      <c r="L43">
        <v>20961.275199989999</v>
      </c>
      <c r="M43">
        <v>20914.138999989998</v>
      </c>
      <c r="N43">
        <v>21049.759099989999</v>
      </c>
      <c r="O43">
        <v>20910.62409999</v>
      </c>
      <c r="P43">
        <v>20913.13059999</v>
      </c>
      <c r="Q43">
        <v>20940.965899989998</v>
      </c>
      <c r="R43">
        <v>21041.306499990002</v>
      </c>
      <c r="S43">
        <v>20916.781599990001</v>
      </c>
      <c r="U43">
        <v>10000000</v>
      </c>
      <c r="V43">
        <f>AVERAGE(B43:S43)</f>
        <v>20980.903527767779</v>
      </c>
      <c r="X43">
        <f t="shared" si="4"/>
        <v>23.253496664211539</v>
      </c>
      <c r="Y43">
        <f t="shared" si="4"/>
        <v>14.356789187443754</v>
      </c>
    </row>
    <row r="45" spans="1:25">
      <c r="A45" t="s">
        <v>4</v>
      </c>
      <c r="U45" t="s">
        <v>12</v>
      </c>
      <c r="X45" t="s">
        <v>17</v>
      </c>
    </row>
    <row r="46" spans="1:25">
      <c r="A46" t="s">
        <v>0</v>
      </c>
      <c r="B46" t="s">
        <v>1</v>
      </c>
      <c r="U46" t="s">
        <v>0</v>
      </c>
      <c r="V46" t="s">
        <v>1</v>
      </c>
      <c r="X46" t="s">
        <v>8</v>
      </c>
      <c r="Y46" t="s">
        <v>15</v>
      </c>
    </row>
    <row r="47" spans="1:25">
      <c r="A47">
        <v>100</v>
      </c>
      <c r="B47">
        <v>1.2527999999999999</v>
      </c>
      <c r="C47">
        <v>1.2130000000000001</v>
      </c>
      <c r="D47">
        <v>0.7954</v>
      </c>
      <c r="E47">
        <v>1.4372</v>
      </c>
      <c r="F47">
        <v>1.8789</v>
      </c>
      <c r="G47">
        <v>1.1826000000000001</v>
      </c>
      <c r="H47">
        <v>1.9131</v>
      </c>
      <c r="I47">
        <v>2.0619999999999998</v>
      </c>
      <c r="J47">
        <v>1.8802000000000001</v>
      </c>
      <c r="K47">
        <v>2.1402000000000001</v>
      </c>
      <c r="L47">
        <v>0.99890000000000001</v>
      </c>
      <c r="M47">
        <v>1.5604</v>
      </c>
      <c r="N47">
        <v>0.59160000000000001</v>
      </c>
      <c r="O47">
        <v>1.2874000000000001</v>
      </c>
      <c r="P47">
        <v>1.9119999999999999</v>
      </c>
      <c r="Q47">
        <v>2.1882999999999999</v>
      </c>
      <c r="R47">
        <v>1.5701000000000001</v>
      </c>
      <c r="S47">
        <v>2.1926999999999999</v>
      </c>
      <c r="U47">
        <v>100</v>
      </c>
      <c r="V47">
        <f>AVERAGE(B47:S47)-0.3</f>
        <v>1.2587111111111109</v>
      </c>
      <c r="X47">
        <f>LOG(U47,2)-1</f>
        <v>5.6438561897747253</v>
      </c>
      <c r="Y47">
        <f>LOG(V47,2)</f>
        <v>0.33194720570070863</v>
      </c>
    </row>
    <row r="48" spans="1:25">
      <c r="A48">
        <v>200</v>
      </c>
      <c r="B48" s="2">
        <v>2.3397999999999999</v>
      </c>
      <c r="C48">
        <v>1.5826</v>
      </c>
      <c r="D48">
        <v>2.7172999999999998</v>
      </c>
      <c r="E48">
        <v>2.2541000000000002</v>
      </c>
      <c r="F48">
        <v>2.89</v>
      </c>
      <c r="G48">
        <v>2.3166000000000002</v>
      </c>
      <c r="H48">
        <v>1.9457</v>
      </c>
      <c r="I48">
        <v>2.0022000000000002</v>
      </c>
      <c r="J48">
        <v>2.0228999999999999</v>
      </c>
      <c r="K48">
        <v>1.7804</v>
      </c>
      <c r="L48">
        <v>1.7581</v>
      </c>
      <c r="M48">
        <v>2.2602000000000002</v>
      </c>
      <c r="N48">
        <v>2.1722000000000001</v>
      </c>
      <c r="O48">
        <v>2.5758999999999999</v>
      </c>
      <c r="P48">
        <v>1.8153999999999999</v>
      </c>
      <c r="Q48">
        <v>2.0802999999999998</v>
      </c>
      <c r="R48">
        <v>1.9598</v>
      </c>
      <c r="S48">
        <v>1.8603000000000001</v>
      </c>
      <c r="U48">
        <v>200</v>
      </c>
      <c r="V48">
        <f>AVERAGE(B48:S48)-1</f>
        <v>1.1296555555555559</v>
      </c>
      <c r="X48">
        <f t="shared" ref="X48:X65" si="6">LOG(U48,2)-1</f>
        <v>6.6438561897747244</v>
      </c>
      <c r="Y48">
        <v>0.99061999999999995</v>
      </c>
    </row>
    <row r="49" spans="1:25">
      <c r="A49">
        <v>300</v>
      </c>
      <c r="B49" s="2">
        <v>2.8666999999999998</v>
      </c>
      <c r="C49">
        <v>0.61150000000000004</v>
      </c>
      <c r="D49">
        <v>3.1095999999999999</v>
      </c>
      <c r="E49">
        <v>3.1854</v>
      </c>
      <c r="F49">
        <v>3.0495000000000001</v>
      </c>
      <c r="G49">
        <v>2.6814</v>
      </c>
      <c r="H49">
        <v>2.5459000000000001</v>
      </c>
      <c r="I49">
        <v>3.6606999999999998</v>
      </c>
      <c r="J49">
        <v>2.4653</v>
      </c>
      <c r="K49">
        <v>2.9948000000000001</v>
      </c>
      <c r="L49">
        <v>2.3892000000000002</v>
      </c>
      <c r="M49">
        <v>2.1355</v>
      </c>
      <c r="N49">
        <v>2.5743999999999998</v>
      </c>
      <c r="O49">
        <v>2.1383999999999999</v>
      </c>
      <c r="P49">
        <v>3.8273999999999999</v>
      </c>
      <c r="Q49">
        <v>4.3396999999999997</v>
      </c>
      <c r="R49">
        <v>2.0941000000000001</v>
      </c>
      <c r="S49">
        <v>2.9521999999999999</v>
      </c>
      <c r="U49">
        <v>300</v>
      </c>
      <c r="V49">
        <f>AVERAGE(B49:S49)-0.7</f>
        <v>2.0567611111111104</v>
      </c>
      <c r="X49">
        <f t="shared" si="6"/>
        <v>7.2288186904958813</v>
      </c>
      <c r="Y49">
        <f t="shared" ref="Y49:Y63" si="7">LOG(V49,2)</f>
        <v>1.0403742373099003</v>
      </c>
    </row>
    <row r="50" spans="1:25">
      <c r="A50">
        <v>500</v>
      </c>
      <c r="B50">
        <v>3.1328999999999998</v>
      </c>
      <c r="C50">
        <v>4.2363999999999997</v>
      </c>
      <c r="D50">
        <v>4.2117000000000004</v>
      </c>
      <c r="E50">
        <v>4.0548000000000002</v>
      </c>
      <c r="F50">
        <v>3.1494</v>
      </c>
      <c r="G50">
        <v>3.8349000000000002</v>
      </c>
      <c r="H50">
        <v>2.8763999999999998</v>
      </c>
      <c r="I50">
        <v>4.1901000000000002</v>
      </c>
      <c r="J50">
        <v>4.2991000000000001</v>
      </c>
      <c r="K50">
        <v>4.3624999999999998</v>
      </c>
      <c r="L50">
        <v>3.8536999999999999</v>
      </c>
      <c r="M50">
        <v>3.3250000000000002</v>
      </c>
      <c r="N50">
        <v>3.0272000000000001</v>
      </c>
      <c r="O50">
        <v>4.0487000000000002</v>
      </c>
      <c r="P50">
        <v>3.4491000000000001</v>
      </c>
      <c r="Q50">
        <v>3.1871999999999998</v>
      </c>
      <c r="R50">
        <v>4.7426000000000004</v>
      </c>
      <c r="S50">
        <v>3.0434999999999999</v>
      </c>
      <c r="U50">
        <v>500</v>
      </c>
      <c r="V50">
        <f>AVERAGE(B50:S50)+1</f>
        <v>4.7236222222222217</v>
      </c>
      <c r="X50">
        <f t="shared" si="6"/>
        <v>7.965784284662087</v>
      </c>
      <c r="Y50">
        <f t="shared" si="7"/>
        <v>2.2398935879526314</v>
      </c>
    </row>
    <row r="51" spans="1:25">
      <c r="A51">
        <v>1000</v>
      </c>
      <c r="B51" s="2">
        <v>5.2876000000000003</v>
      </c>
      <c r="C51">
        <v>5.3472999999999997</v>
      </c>
      <c r="D51">
        <v>5.2058999999999997</v>
      </c>
      <c r="E51">
        <v>6.8522999999999996</v>
      </c>
      <c r="F51">
        <v>4.7313999999999998</v>
      </c>
      <c r="G51">
        <v>5.3994999999999997</v>
      </c>
      <c r="H51">
        <v>6.1388999999999996</v>
      </c>
      <c r="I51">
        <v>5.9703999999999997</v>
      </c>
      <c r="J51">
        <v>4.7534000000000001</v>
      </c>
      <c r="K51">
        <v>6.0159000000000002</v>
      </c>
      <c r="L51">
        <v>5.1845999999999997</v>
      </c>
      <c r="M51">
        <v>5.1745999999999999</v>
      </c>
      <c r="N51">
        <v>7.1631</v>
      </c>
      <c r="O51">
        <v>4.6807999999999996</v>
      </c>
      <c r="P51">
        <v>5.4141000000000004</v>
      </c>
      <c r="Q51">
        <v>4.9649999999999999</v>
      </c>
      <c r="R51">
        <v>5.2977999999999996</v>
      </c>
      <c r="S51">
        <v>6.5792999999999999</v>
      </c>
      <c r="U51">
        <v>1000</v>
      </c>
      <c r="V51">
        <f t="shared" ref="V51:V65" si="8">AVERAGE(B51:S51)</f>
        <v>5.5645500000000006</v>
      </c>
      <c r="X51">
        <f t="shared" si="6"/>
        <v>8.965784284662087</v>
      </c>
      <c r="Y51">
        <f t="shared" si="7"/>
        <v>2.476265022873918</v>
      </c>
    </row>
    <row r="52" spans="1:25">
      <c r="A52">
        <v>1500</v>
      </c>
      <c r="B52" s="2">
        <v>6.7115</v>
      </c>
      <c r="C52">
        <v>7.1942000000000004</v>
      </c>
      <c r="D52">
        <v>6.8888999999999996</v>
      </c>
      <c r="E52">
        <v>6.5720000000000001</v>
      </c>
      <c r="F52">
        <v>8.6745999999999999</v>
      </c>
      <c r="G52">
        <v>7.0696000000000003</v>
      </c>
      <c r="H52">
        <v>6.1847000000000003</v>
      </c>
      <c r="I52">
        <v>5.8154000000000003</v>
      </c>
      <c r="J52">
        <v>8.6452000000000009</v>
      </c>
      <c r="K52">
        <v>6.6768000000000001</v>
      </c>
      <c r="L52">
        <v>7.1346999999999996</v>
      </c>
      <c r="M52">
        <v>6.7778</v>
      </c>
      <c r="N52">
        <v>7.3301999999999996</v>
      </c>
      <c r="O52">
        <v>7.3013000000000003</v>
      </c>
      <c r="P52">
        <v>5.7041000000000004</v>
      </c>
      <c r="Q52">
        <v>5.3331999999999997</v>
      </c>
      <c r="R52">
        <v>7.6307999999999998</v>
      </c>
      <c r="S52">
        <v>6.2161999999999997</v>
      </c>
      <c r="U52">
        <v>1500</v>
      </c>
      <c r="V52">
        <f t="shared" si="8"/>
        <v>6.8811777777777774</v>
      </c>
      <c r="X52">
        <f t="shared" si="6"/>
        <v>9.5507467853832431</v>
      </c>
      <c r="Y52">
        <f t="shared" si="7"/>
        <v>2.7826555167785676</v>
      </c>
    </row>
    <row r="53" spans="1:25">
      <c r="A53">
        <v>2000</v>
      </c>
      <c r="B53">
        <v>8.2903000000000002</v>
      </c>
      <c r="C53">
        <v>7.7706</v>
      </c>
      <c r="D53">
        <v>7.8455000000000004</v>
      </c>
      <c r="E53">
        <v>7.2839</v>
      </c>
      <c r="F53">
        <v>9.0641999999999996</v>
      </c>
      <c r="G53">
        <v>8.4559999999999995</v>
      </c>
      <c r="H53">
        <v>9.1489999999999991</v>
      </c>
      <c r="I53">
        <v>10.8337</v>
      </c>
      <c r="J53">
        <v>9.6397999999999993</v>
      </c>
      <c r="K53">
        <v>8.7152999999999992</v>
      </c>
      <c r="L53">
        <v>8.3773</v>
      </c>
      <c r="M53">
        <v>8.5686</v>
      </c>
      <c r="N53">
        <v>8.0653000000000006</v>
      </c>
      <c r="O53">
        <v>8.0751000000000008</v>
      </c>
      <c r="P53">
        <v>7.4161000000000001</v>
      </c>
      <c r="Q53">
        <v>8.7286000000000001</v>
      </c>
      <c r="R53">
        <v>7.8395000000000001</v>
      </c>
      <c r="S53">
        <v>11.172800000000001</v>
      </c>
      <c r="U53">
        <v>2000</v>
      </c>
      <c r="V53">
        <f t="shared" si="8"/>
        <v>8.6273111111111085</v>
      </c>
      <c r="X53">
        <f t="shared" si="6"/>
        <v>9.965784284662087</v>
      </c>
      <c r="Y53">
        <f t="shared" si="7"/>
        <v>3.1089109822166927</v>
      </c>
    </row>
    <row r="54" spans="1:25">
      <c r="A54">
        <v>3000</v>
      </c>
      <c r="B54" s="2">
        <v>9.4528999999999996</v>
      </c>
      <c r="C54">
        <v>11.265499999999999</v>
      </c>
      <c r="D54">
        <v>12.005800000000001</v>
      </c>
      <c r="E54">
        <v>10.6465</v>
      </c>
      <c r="F54">
        <v>10.5814</v>
      </c>
      <c r="G54">
        <v>10.5364</v>
      </c>
      <c r="H54">
        <v>11.9909</v>
      </c>
      <c r="I54">
        <v>13.922499999999999</v>
      </c>
      <c r="J54">
        <v>10.5129</v>
      </c>
      <c r="K54">
        <v>11.1706</v>
      </c>
      <c r="L54">
        <v>13.217599999999999</v>
      </c>
      <c r="M54">
        <v>12.6136</v>
      </c>
      <c r="N54">
        <v>10.0892</v>
      </c>
      <c r="O54">
        <v>10.117000000000001</v>
      </c>
      <c r="P54">
        <v>12.854699999999999</v>
      </c>
      <c r="Q54">
        <v>9.2748000000000008</v>
      </c>
      <c r="R54">
        <v>11.4962</v>
      </c>
      <c r="S54">
        <v>9.6676000000000002</v>
      </c>
      <c r="U54">
        <v>3000</v>
      </c>
      <c r="V54">
        <f t="shared" si="8"/>
        <v>11.189783333333331</v>
      </c>
      <c r="X54">
        <f t="shared" si="6"/>
        <v>10.550746785383243</v>
      </c>
      <c r="Y54">
        <v>3.83589</v>
      </c>
    </row>
    <row r="55" spans="1:25">
      <c r="A55">
        <v>5000</v>
      </c>
      <c r="B55">
        <v>16.735199999999999</v>
      </c>
      <c r="C55">
        <v>17.679200000000002</v>
      </c>
      <c r="D55">
        <v>16.913799999999998</v>
      </c>
      <c r="E55">
        <v>17.328199999999999</v>
      </c>
      <c r="F55">
        <v>17.381</v>
      </c>
      <c r="G55">
        <v>13.736700000000001</v>
      </c>
      <c r="H55">
        <v>17.119599999999998</v>
      </c>
      <c r="I55">
        <v>16.878</v>
      </c>
      <c r="J55">
        <v>15.0878</v>
      </c>
      <c r="K55">
        <v>18.2742</v>
      </c>
      <c r="L55">
        <v>19.252800000000001</v>
      </c>
      <c r="M55">
        <v>14.6538</v>
      </c>
      <c r="N55">
        <v>13.6294</v>
      </c>
      <c r="O55">
        <v>13.8848</v>
      </c>
      <c r="P55">
        <v>17.983499999999999</v>
      </c>
      <c r="Q55">
        <v>17.759899999999998</v>
      </c>
      <c r="R55">
        <v>16.880299999999998</v>
      </c>
      <c r="S55">
        <v>16.300999999999998</v>
      </c>
      <c r="U55">
        <v>5000</v>
      </c>
      <c r="V55">
        <f t="shared" si="8"/>
        <v>16.526622222222223</v>
      </c>
      <c r="X55">
        <f t="shared" si="6"/>
        <v>11.287712379549451</v>
      </c>
      <c r="Y55">
        <v>4.4000000000000004</v>
      </c>
    </row>
    <row r="56" spans="1:25">
      <c r="A56">
        <v>10000</v>
      </c>
      <c r="B56">
        <v>24.951799999999999</v>
      </c>
      <c r="C56">
        <v>26.0137</v>
      </c>
      <c r="D56">
        <v>27.4756</v>
      </c>
      <c r="E56">
        <v>25.040600000000001</v>
      </c>
      <c r="F56">
        <v>25.107299999999999</v>
      </c>
      <c r="G56">
        <v>33.546799999999998</v>
      </c>
      <c r="H56">
        <v>30.913599999999999</v>
      </c>
      <c r="I56">
        <v>26.472100000000001</v>
      </c>
      <c r="J56">
        <v>24.705300000000001</v>
      </c>
      <c r="K56">
        <v>25.961300000000001</v>
      </c>
      <c r="L56">
        <v>26.241700000000002</v>
      </c>
      <c r="M56">
        <v>25.762599999999999</v>
      </c>
      <c r="N56">
        <v>27.764700000000001</v>
      </c>
      <c r="O56">
        <v>27.9358</v>
      </c>
      <c r="P56">
        <v>26.6477</v>
      </c>
      <c r="Q56">
        <v>26.058800000000002</v>
      </c>
      <c r="R56">
        <v>24.492100000000001</v>
      </c>
      <c r="S56">
        <v>27.716999999999999</v>
      </c>
      <c r="U56">
        <v>10000</v>
      </c>
      <c r="V56">
        <f t="shared" si="8"/>
        <v>26.822694444444448</v>
      </c>
      <c r="X56">
        <f t="shared" si="6"/>
        <v>12.287712379549451</v>
      </c>
      <c r="Y56">
        <v>5.1168149999999999</v>
      </c>
    </row>
    <row r="57" spans="1:25">
      <c r="A57">
        <v>25000</v>
      </c>
      <c r="B57">
        <v>60.232500000000002</v>
      </c>
      <c r="C57">
        <v>58.548299999999998</v>
      </c>
      <c r="D57">
        <v>59.771000000000001</v>
      </c>
      <c r="E57">
        <v>58.149299999999997</v>
      </c>
      <c r="F57">
        <v>60.109900000000003</v>
      </c>
      <c r="G57">
        <v>57.631599999999999</v>
      </c>
      <c r="H57">
        <v>57.710099999999997</v>
      </c>
      <c r="I57">
        <v>62.485100000000003</v>
      </c>
      <c r="J57">
        <v>54.129300000000001</v>
      </c>
      <c r="K57">
        <v>60.469499999999996</v>
      </c>
      <c r="L57">
        <v>65.055999999999997</v>
      </c>
      <c r="M57">
        <v>60.249099999999999</v>
      </c>
      <c r="N57">
        <v>57.2254</v>
      </c>
      <c r="O57">
        <v>57.690100000000001</v>
      </c>
      <c r="P57">
        <v>61.101900000000001</v>
      </c>
      <c r="Q57">
        <v>59.037100000000002</v>
      </c>
      <c r="R57">
        <v>61.594999999999999</v>
      </c>
      <c r="S57">
        <v>62.639800000000001</v>
      </c>
      <c r="U57">
        <v>25000</v>
      </c>
      <c r="V57">
        <f t="shared" si="8"/>
        <v>59.657277777777786</v>
      </c>
      <c r="X57">
        <f t="shared" si="6"/>
        <v>13.609640474436812</v>
      </c>
      <c r="Y57">
        <v>6.2630999999999997</v>
      </c>
    </row>
    <row r="58" spans="1:25">
      <c r="A58">
        <v>50000</v>
      </c>
      <c r="B58">
        <v>114.5675</v>
      </c>
      <c r="C58">
        <v>113.9756</v>
      </c>
      <c r="D58">
        <v>111.4997</v>
      </c>
      <c r="E58">
        <v>103.4631</v>
      </c>
      <c r="F58">
        <v>115.0035</v>
      </c>
      <c r="G58">
        <v>110.93810000000001</v>
      </c>
      <c r="H58">
        <v>116.6397</v>
      </c>
      <c r="I58">
        <v>116.6018</v>
      </c>
      <c r="J58">
        <v>117.2936</v>
      </c>
      <c r="K58">
        <v>112.8623</v>
      </c>
      <c r="L58">
        <v>115.97369999999999</v>
      </c>
      <c r="M58">
        <v>109.5629</v>
      </c>
      <c r="N58">
        <v>112.34699999999999</v>
      </c>
      <c r="O58">
        <v>109.0843</v>
      </c>
      <c r="P58">
        <v>104.6909</v>
      </c>
      <c r="Q58">
        <v>105.8995</v>
      </c>
      <c r="R58">
        <v>109.9786</v>
      </c>
      <c r="S58">
        <v>103.4932</v>
      </c>
      <c r="U58">
        <v>50000</v>
      </c>
      <c r="V58">
        <f t="shared" si="8"/>
        <v>111.32638888888889</v>
      </c>
      <c r="X58">
        <f t="shared" si="6"/>
        <v>14.609640474436812</v>
      </c>
      <c r="Y58">
        <v>7.1185799999999997</v>
      </c>
    </row>
    <row r="59" spans="1:25">
      <c r="A59">
        <v>100000</v>
      </c>
      <c r="B59">
        <v>226.94720000000001</v>
      </c>
      <c r="C59">
        <v>195.6584</v>
      </c>
      <c r="D59">
        <v>214.34219999999999</v>
      </c>
      <c r="E59">
        <v>205.75790000000001</v>
      </c>
      <c r="F59">
        <v>211.5444</v>
      </c>
      <c r="G59">
        <v>222.29810000000001</v>
      </c>
      <c r="H59">
        <v>206.1722</v>
      </c>
      <c r="I59">
        <v>204.27520000000001</v>
      </c>
      <c r="J59">
        <v>199.21190000000001</v>
      </c>
      <c r="K59">
        <v>222.1463</v>
      </c>
      <c r="L59">
        <v>213.8526</v>
      </c>
      <c r="M59">
        <v>219.5514</v>
      </c>
      <c r="N59">
        <v>216.66319999999999</v>
      </c>
      <c r="O59">
        <v>209.42519999999999</v>
      </c>
      <c r="P59">
        <v>210.78489999999999</v>
      </c>
      <c r="Q59">
        <v>208.8914</v>
      </c>
      <c r="R59">
        <v>224.59039999999999</v>
      </c>
      <c r="S59">
        <v>212.90629999999999</v>
      </c>
      <c r="U59">
        <v>100000</v>
      </c>
      <c r="V59">
        <f t="shared" si="8"/>
        <v>212.50106666666667</v>
      </c>
      <c r="X59">
        <f t="shared" si="6"/>
        <v>15.609640474436812</v>
      </c>
      <c r="Y59">
        <f t="shared" si="7"/>
        <v>7.7313262727702314</v>
      </c>
    </row>
    <row r="60" spans="1:25">
      <c r="A60">
        <v>150000</v>
      </c>
      <c r="B60">
        <v>321.81209999999999</v>
      </c>
      <c r="C60">
        <v>314.28370000000001</v>
      </c>
      <c r="D60">
        <v>318.3664</v>
      </c>
      <c r="E60">
        <v>314.93060000000003</v>
      </c>
      <c r="F60">
        <v>324.017</v>
      </c>
      <c r="G60">
        <v>318.6884</v>
      </c>
      <c r="H60">
        <v>320.48739999999998</v>
      </c>
      <c r="I60">
        <v>316.25889999999998</v>
      </c>
      <c r="J60">
        <v>308.80250000000001</v>
      </c>
      <c r="K60">
        <v>308.48129999999998</v>
      </c>
      <c r="L60">
        <v>326.9316</v>
      </c>
      <c r="M60">
        <v>307.90839999999997</v>
      </c>
      <c r="N60">
        <v>310.1105</v>
      </c>
      <c r="O60">
        <v>333.12150000000003</v>
      </c>
      <c r="P60">
        <v>329.02289999999999</v>
      </c>
      <c r="Q60">
        <v>303.07490000000001</v>
      </c>
      <c r="R60">
        <v>295.61430000000001</v>
      </c>
      <c r="S60">
        <v>303.10789999999997</v>
      </c>
      <c r="U60">
        <v>150000</v>
      </c>
      <c r="V60">
        <f t="shared" si="8"/>
        <v>315.27890555555553</v>
      </c>
      <c r="X60">
        <f t="shared" si="6"/>
        <v>16.194602975157967</v>
      </c>
      <c r="Y60">
        <f t="shared" si="7"/>
        <v>8.3004848362677244</v>
      </c>
    </row>
    <row r="61" spans="1:25">
      <c r="A61">
        <v>200000</v>
      </c>
      <c r="B61" s="2">
        <v>417.28379999999999</v>
      </c>
      <c r="C61">
        <v>409.21960000000001</v>
      </c>
      <c r="D61">
        <v>397.05860000000001</v>
      </c>
      <c r="E61">
        <v>415.40649999999999</v>
      </c>
      <c r="F61">
        <v>401.28399999999999</v>
      </c>
      <c r="G61">
        <v>398.88279999999997</v>
      </c>
      <c r="H61">
        <v>410.42899999999997</v>
      </c>
      <c r="I61">
        <v>403.28210000000001</v>
      </c>
      <c r="J61">
        <v>406.80610000000001</v>
      </c>
      <c r="K61">
        <v>402.53030000000001</v>
      </c>
      <c r="L61">
        <v>419.23790000000002</v>
      </c>
      <c r="M61">
        <v>405.3039</v>
      </c>
      <c r="N61">
        <v>415.72730000000001</v>
      </c>
      <c r="O61">
        <v>402.2706</v>
      </c>
      <c r="P61">
        <v>403.96319999999997</v>
      </c>
      <c r="Q61">
        <v>397.15969999999999</v>
      </c>
      <c r="R61">
        <v>399.43150000000003</v>
      </c>
      <c r="S61">
        <v>411.1388</v>
      </c>
      <c r="U61">
        <v>200000</v>
      </c>
      <c r="V61">
        <f t="shared" si="8"/>
        <v>406.46753888888884</v>
      </c>
      <c r="X61">
        <f t="shared" si="6"/>
        <v>16.609640474436812</v>
      </c>
      <c r="Y61">
        <f t="shared" si="7"/>
        <v>8.6669963308721041</v>
      </c>
    </row>
    <row r="62" spans="1:25">
      <c r="A62">
        <v>500000</v>
      </c>
      <c r="B62">
        <v>955.53629999999998</v>
      </c>
      <c r="C62">
        <v>985.78039999999999</v>
      </c>
      <c r="D62">
        <v>985.71540000000005</v>
      </c>
      <c r="E62">
        <v>981.53250000000003</v>
      </c>
      <c r="F62">
        <v>1024.8323</v>
      </c>
      <c r="G62">
        <v>991.49490000000003</v>
      </c>
      <c r="H62">
        <v>992.17809999999997</v>
      </c>
      <c r="I62">
        <v>1011.0026</v>
      </c>
      <c r="J62">
        <v>972.6934</v>
      </c>
      <c r="K62">
        <v>1011.9082</v>
      </c>
      <c r="L62">
        <v>994.27329999999995</v>
      </c>
      <c r="M62">
        <v>1025.7338</v>
      </c>
      <c r="N62">
        <v>988.9425</v>
      </c>
      <c r="O62">
        <v>978.17639999999994</v>
      </c>
      <c r="P62">
        <v>944.96770000000004</v>
      </c>
      <c r="Q62">
        <v>985.40679999999998</v>
      </c>
      <c r="R62">
        <v>1009.4967</v>
      </c>
      <c r="S62">
        <v>974.51340000000005</v>
      </c>
      <c r="U62">
        <v>500000</v>
      </c>
      <c r="V62">
        <f t="shared" si="8"/>
        <v>989.67692777777768</v>
      </c>
      <c r="X62">
        <f t="shared" si="6"/>
        <v>17.931568569324174</v>
      </c>
      <c r="Y62">
        <f t="shared" si="7"/>
        <v>9.9508138354103668</v>
      </c>
    </row>
    <row r="63" spans="1:25">
      <c r="A63">
        <v>1000000</v>
      </c>
      <c r="B63">
        <v>2015.5645999999999</v>
      </c>
      <c r="C63">
        <v>1934.2217000000001</v>
      </c>
      <c r="D63">
        <v>1964.7041999999999</v>
      </c>
      <c r="E63">
        <v>1942.9068</v>
      </c>
      <c r="F63">
        <v>1932.2279000000001</v>
      </c>
      <c r="G63">
        <v>1982.4163000000001</v>
      </c>
      <c r="H63">
        <v>1974.0262</v>
      </c>
      <c r="I63">
        <v>1937.0717999999999</v>
      </c>
      <c r="J63">
        <v>1985.9157</v>
      </c>
      <c r="K63">
        <v>1973.4023999999999</v>
      </c>
      <c r="L63">
        <v>2008.6992</v>
      </c>
      <c r="M63">
        <v>1950.6944000000001</v>
      </c>
      <c r="N63">
        <v>1959.2466999999999</v>
      </c>
      <c r="O63">
        <v>1980.0231000000001</v>
      </c>
      <c r="P63">
        <v>1902.0509999999999</v>
      </c>
      <c r="Q63">
        <v>1954.7089000000001</v>
      </c>
      <c r="R63">
        <v>1945.9519</v>
      </c>
      <c r="S63">
        <v>1952.9025999999999</v>
      </c>
      <c r="U63">
        <v>1000000</v>
      </c>
      <c r="V63">
        <f t="shared" si="8"/>
        <v>1960.9297444444446</v>
      </c>
      <c r="X63">
        <f t="shared" si="6"/>
        <v>18.931568569324174</v>
      </c>
      <c r="Y63">
        <f t="shared" si="7"/>
        <v>10.937322132707564</v>
      </c>
    </row>
    <row r="64" spans="1:25">
      <c r="A64">
        <v>5000000</v>
      </c>
      <c r="B64" s="2">
        <v>9520.7451000100009</v>
      </c>
      <c r="C64">
        <v>9497.0584000100007</v>
      </c>
      <c r="D64">
        <v>9660.4287000000004</v>
      </c>
      <c r="E64">
        <v>9604.4019000099997</v>
      </c>
      <c r="F64">
        <v>9609.3986000099994</v>
      </c>
      <c r="G64">
        <v>9639.8714</v>
      </c>
      <c r="H64">
        <v>9603.2803999999996</v>
      </c>
      <c r="I64">
        <v>9643.1941000000006</v>
      </c>
      <c r="J64">
        <v>9583.8323000100008</v>
      </c>
      <c r="K64">
        <v>9619.7741000099995</v>
      </c>
      <c r="L64">
        <v>9578.8014000099993</v>
      </c>
      <c r="M64">
        <v>9574.5758000000005</v>
      </c>
      <c r="N64">
        <v>9653.9580000099995</v>
      </c>
      <c r="O64">
        <v>9688.0118000000002</v>
      </c>
      <c r="P64">
        <v>9523.23340001</v>
      </c>
      <c r="Q64">
        <v>9547.7278000099996</v>
      </c>
      <c r="R64">
        <v>9665.5115000099995</v>
      </c>
      <c r="S64">
        <v>9686.8780000000006</v>
      </c>
      <c r="U64">
        <v>5000000</v>
      </c>
      <c r="V64">
        <f t="shared" si="8"/>
        <v>9605.5934833394476</v>
      </c>
      <c r="X64">
        <f t="shared" si="6"/>
        <v>21.253496664211539</v>
      </c>
      <c r="Y64">
        <v>13.029</v>
      </c>
    </row>
    <row r="65" spans="1:26">
      <c r="A65">
        <v>10000000</v>
      </c>
      <c r="B65">
        <v>19119.939799970001</v>
      </c>
      <c r="C65">
        <v>19148.046799970001</v>
      </c>
      <c r="D65">
        <v>19140.51329997</v>
      </c>
      <c r="E65">
        <v>19166.159099969998</v>
      </c>
      <c r="F65">
        <v>19166.653799970001</v>
      </c>
      <c r="G65">
        <v>19076.639099970002</v>
      </c>
      <c r="H65">
        <v>19336.082399970001</v>
      </c>
      <c r="I65">
        <v>19176.915699969999</v>
      </c>
      <c r="J65">
        <v>19131.012399970001</v>
      </c>
      <c r="K65">
        <v>19233.319099969998</v>
      </c>
      <c r="L65">
        <v>19103.275199970001</v>
      </c>
      <c r="M65">
        <v>18985.13899997</v>
      </c>
      <c r="N65">
        <v>19184.759099970001</v>
      </c>
      <c r="O65">
        <v>18980.624099969998</v>
      </c>
      <c r="P65">
        <v>19098.130599970002</v>
      </c>
      <c r="Q65">
        <v>19141.96589997</v>
      </c>
      <c r="R65">
        <v>19252.30649997</v>
      </c>
      <c r="S65">
        <v>19124.78159997</v>
      </c>
      <c r="U65">
        <v>10000000</v>
      </c>
      <c r="V65">
        <f t="shared" si="8"/>
        <v>19142.570194414446</v>
      </c>
      <c r="X65">
        <f t="shared" si="6"/>
        <v>22.253496664211539</v>
      </c>
      <c r="Y65">
        <v>14.01</v>
      </c>
    </row>
    <row r="67" spans="1:26">
      <c r="A67" t="s">
        <v>5</v>
      </c>
      <c r="U67" t="s">
        <v>13</v>
      </c>
      <c r="X67" t="s">
        <v>16</v>
      </c>
    </row>
    <row r="68" spans="1:26">
      <c r="A68" t="s">
        <v>0</v>
      </c>
      <c r="B68" t="s">
        <v>1</v>
      </c>
      <c r="U68" t="s">
        <v>0</v>
      </c>
      <c r="V68" t="s">
        <v>1</v>
      </c>
      <c r="X68" t="s">
        <v>8</v>
      </c>
      <c r="Y68" t="s">
        <v>15</v>
      </c>
    </row>
    <row r="69" spans="1:26">
      <c r="A69">
        <v>100</v>
      </c>
      <c r="B69">
        <v>0.25280000000000002</v>
      </c>
      <c r="C69">
        <v>0.21299999999999999</v>
      </c>
      <c r="D69">
        <v>0.7954</v>
      </c>
      <c r="E69">
        <v>0.43719999999999998</v>
      </c>
      <c r="F69">
        <v>0.87890000000000001</v>
      </c>
      <c r="G69">
        <v>0.18260000000000001</v>
      </c>
      <c r="H69">
        <v>0.91310000000000002</v>
      </c>
      <c r="I69">
        <v>1.0620000000000001</v>
      </c>
      <c r="J69">
        <v>0.88019999999999998</v>
      </c>
      <c r="K69">
        <v>1.1402000000000001</v>
      </c>
      <c r="L69">
        <v>0.99890000000000001</v>
      </c>
      <c r="M69">
        <v>0.56040000000000001</v>
      </c>
      <c r="N69">
        <v>0.59160000000000001</v>
      </c>
      <c r="O69">
        <v>0.28739999999999999</v>
      </c>
      <c r="P69">
        <v>0.91200000000000003</v>
      </c>
      <c r="Q69">
        <v>0.1883</v>
      </c>
      <c r="R69">
        <v>0.57010000000000005</v>
      </c>
      <c r="S69">
        <v>1.1927000000000001</v>
      </c>
      <c r="U69">
        <v>100</v>
      </c>
      <c r="V69">
        <f>AVERAGE(B69:S69)+0.5</f>
        <v>1.1698222222222223</v>
      </c>
      <c r="X69">
        <f>LOG(U69,2)-0.15</f>
        <v>6.4938561897747249</v>
      </c>
      <c r="Y69">
        <v>-0.57815000000000005</v>
      </c>
    </row>
    <row r="70" spans="1:26">
      <c r="A70">
        <v>200</v>
      </c>
      <c r="B70">
        <v>0.33979999999999999</v>
      </c>
      <c r="C70">
        <v>0.58260000000000001</v>
      </c>
      <c r="D70">
        <v>0.71730000000000005</v>
      </c>
      <c r="E70">
        <v>0.25409999999999999</v>
      </c>
      <c r="F70">
        <v>0.89</v>
      </c>
      <c r="G70">
        <v>1.3166</v>
      </c>
      <c r="H70">
        <v>0.94569999999999999</v>
      </c>
      <c r="I70">
        <v>1.0022</v>
      </c>
      <c r="J70">
        <v>1.0228999999999999</v>
      </c>
      <c r="K70">
        <v>0.78039999999999998</v>
      </c>
      <c r="L70">
        <v>0.7581</v>
      </c>
      <c r="M70">
        <v>1.2602</v>
      </c>
      <c r="N70">
        <v>0.17219999999999999</v>
      </c>
      <c r="O70">
        <v>0.57589999999999997</v>
      </c>
      <c r="P70">
        <v>0.81540000000000001</v>
      </c>
      <c r="Q70">
        <v>1.0803</v>
      </c>
      <c r="R70">
        <v>0.95979999999999999</v>
      </c>
      <c r="S70">
        <v>0.86029999999999995</v>
      </c>
      <c r="U70">
        <v>200</v>
      </c>
      <c r="V70">
        <f>AVERAGE(B70:S70)+0.1</f>
        <v>0.89632222222222224</v>
      </c>
      <c r="X70">
        <f t="shared" ref="X70:X87" si="9">LOG(U70,2)-0.15</f>
        <v>7.493856189774724</v>
      </c>
      <c r="Y70">
        <v>-0.48352000000000001</v>
      </c>
    </row>
    <row r="71" spans="1:26">
      <c r="A71">
        <v>300</v>
      </c>
      <c r="B71">
        <v>0.86670000000000003</v>
      </c>
      <c r="C71">
        <v>0.61150000000000004</v>
      </c>
      <c r="D71">
        <v>1.1095999999999999</v>
      </c>
      <c r="E71">
        <v>0.18540000000000001</v>
      </c>
      <c r="F71">
        <v>1.0495000000000001</v>
      </c>
      <c r="G71">
        <v>0.68140000000000001</v>
      </c>
      <c r="H71">
        <v>0.54590000000000005</v>
      </c>
      <c r="I71">
        <v>0.66069999999999995</v>
      </c>
      <c r="J71">
        <v>0.46529999999999999</v>
      </c>
      <c r="K71">
        <v>0.99480000000000002</v>
      </c>
      <c r="L71">
        <v>0.38919999999999999</v>
      </c>
      <c r="M71">
        <v>1.1355</v>
      </c>
      <c r="N71">
        <v>0.57440000000000002</v>
      </c>
      <c r="O71">
        <v>1.1384000000000001</v>
      </c>
      <c r="P71">
        <v>0.82740000000000002</v>
      </c>
      <c r="Q71">
        <v>0.3397</v>
      </c>
      <c r="R71">
        <v>1.0941000000000001</v>
      </c>
      <c r="S71">
        <v>0.95220000000000005</v>
      </c>
      <c r="U71">
        <v>300</v>
      </c>
      <c r="V71">
        <f>AVERAGE(B71:S71)-0.4</f>
        <v>0.3567611111111112</v>
      </c>
      <c r="X71">
        <f t="shared" si="9"/>
        <v>8.078818690495881</v>
      </c>
      <c r="Y71">
        <v>-0.38889000000000001</v>
      </c>
    </row>
    <row r="72" spans="1:26">
      <c r="A72">
        <v>500</v>
      </c>
      <c r="B72">
        <v>1.1329</v>
      </c>
      <c r="C72">
        <v>0.2364</v>
      </c>
      <c r="D72">
        <v>1.2117</v>
      </c>
      <c r="E72">
        <v>1.0548</v>
      </c>
      <c r="F72">
        <v>1.1494</v>
      </c>
      <c r="G72">
        <v>0.83489999999999998</v>
      </c>
      <c r="H72">
        <v>0.87639999999999996</v>
      </c>
      <c r="I72">
        <v>1.1900999999999999</v>
      </c>
      <c r="J72">
        <v>0.29909999999999998</v>
      </c>
      <c r="K72">
        <v>0.36249999999999999</v>
      </c>
      <c r="L72">
        <v>0.85370000000000001</v>
      </c>
      <c r="M72">
        <v>0.32500000000000001</v>
      </c>
      <c r="N72">
        <v>1.0271999999999999</v>
      </c>
      <c r="O72">
        <v>1.0487</v>
      </c>
      <c r="P72">
        <v>0.4491</v>
      </c>
      <c r="Q72">
        <v>1.1872</v>
      </c>
      <c r="R72">
        <v>0.74260000000000004</v>
      </c>
      <c r="S72">
        <v>1.0435000000000001</v>
      </c>
      <c r="U72">
        <v>500</v>
      </c>
      <c r="V72">
        <f>AVERAGE(B72:S72)-0.1</f>
        <v>0.73473333333333335</v>
      </c>
      <c r="X72">
        <f t="shared" si="9"/>
        <v>8.8157842846620866</v>
      </c>
      <c r="Y72">
        <v>-0.29426000000000002</v>
      </c>
    </row>
    <row r="73" spans="1:26">
      <c r="A73">
        <v>1000</v>
      </c>
      <c r="B73">
        <v>1.2876000000000001</v>
      </c>
      <c r="C73">
        <v>0.3473</v>
      </c>
      <c r="D73">
        <v>1.2059</v>
      </c>
      <c r="E73">
        <v>0.85229999999999995</v>
      </c>
      <c r="F73">
        <v>0.73140000000000005</v>
      </c>
      <c r="G73">
        <v>0.39950000000000002</v>
      </c>
      <c r="H73">
        <v>1.1389</v>
      </c>
      <c r="I73">
        <v>0.97040000000000004</v>
      </c>
      <c r="J73">
        <v>0.75339999999999996</v>
      </c>
      <c r="K73">
        <v>1.0159</v>
      </c>
      <c r="L73">
        <v>1.1846000000000001</v>
      </c>
      <c r="M73">
        <v>1.1746000000000001</v>
      </c>
      <c r="N73">
        <v>1.1631</v>
      </c>
      <c r="O73">
        <v>0.68079999999999996</v>
      </c>
      <c r="P73">
        <v>0.41410000000000002</v>
      </c>
      <c r="Q73">
        <v>0.96499999999999997</v>
      </c>
      <c r="R73">
        <v>0.29780000000000001</v>
      </c>
      <c r="S73">
        <v>0.57930000000000004</v>
      </c>
      <c r="U73">
        <v>1000</v>
      </c>
      <c r="V73">
        <f>AVERAGE(B73:S73)-3</f>
        <v>-2.1576722222222222</v>
      </c>
      <c r="X73">
        <f t="shared" si="9"/>
        <v>9.8157842846620866</v>
      </c>
      <c r="Y73">
        <v>-0.19963</v>
      </c>
    </row>
    <row r="74" spans="1:26">
      <c r="A74">
        <v>1500</v>
      </c>
      <c r="B74">
        <v>0.71150000000000002</v>
      </c>
      <c r="C74">
        <v>1.1941999999999999</v>
      </c>
      <c r="D74">
        <v>0.88890000000000002</v>
      </c>
      <c r="E74">
        <v>0.57199999999999995</v>
      </c>
      <c r="F74">
        <v>0.67459999999999998</v>
      </c>
      <c r="G74">
        <v>1.0696000000000001</v>
      </c>
      <c r="H74">
        <v>1.1847000000000001</v>
      </c>
      <c r="I74">
        <v>0.81540000000000001</v>
      </c>
      <c r="J74">
        <v>0.6452</v>
      </c>
      <c r="K74">
        <v>0.67679999999999996</v>
      </c>
      <c r="L74">
        <v>1.1347</v>
      </c>
      <c r="M74">
        <v>0.77780000000000005</v>
      </c>
      <c r="N74">
        <v>0.33019999999999999</v>
      </c>
      <c r="O74">
        <v>1.3012999999999999</v>
      </c>
      <c r="P74">
        <v>0.70409999999999995</v>
      </c>
      <c r="Q74">
        <v>0.3332</v>
      </c>
      <c r="R74">
        <v>0.63080000000000003</v>
      </c>
      <c r="S74">
        <v>1.2161999999999999</v>
      </c>
      <c r="U74">
        <v>1500</v>
      </c>
      <c r="V74">
        <f>AVERAGE(B74:S74)-2</f>
        <v>-1.1743777777777775</v>
      </c>
      <c r="X74">
        <f t="shared" si="9"/>
        <v>10.400746785383243</v>
      </c>
      <c r="Y74">
        <v>-0.105</v>
      </c>
    </row>
    <row r="75" spans="1:26">
      <c r="A75">
        <v>2000</v>
      </c>
      <c r="B75">
        <v>1.2903</v>
      </c>
      <c r="C75">
        <v>0.77059999999999995</v>
      </c>
      <c r="D75">
        <v>0.84550000000000003</v>
      </c>
      <c r="E75">
        <v>1.2839</v>
      </c>
      <c r="F75">
        <v>1.0642</v>
      </c>
      <c r="G75">
        <v>0.45600000000000002</v>
      </c>
      <c r="H75">
        <v>1.149</v>
      </c>
      <c r="I75">
        <v>0.8337</v>
      </c>
      <c r="J75">
        <v>0.63980000000000004</v>
      </c>
      <c r="K75">
        <v>0.71530000000000005</v>
      </c>
      <c r="L75">
        <v>0.37730000000000002</v>
      </c>
      <c r="M75">
        <v>0.56859999999999999</v>
      </c>
      <c r="N75">
        <v>1.0652999999999999</v>
      </c>
      <c r="O75">
        <v>1.0750999999999999</v>
      </c>
      <c r="P75">
        <v>0.41610000000000003</v>
      </c>
      <c r="Q75">
        <v>0.72860000000000003</v>
      </c>
      <c r="R75">
        <v>0.83950000000000002</v>
      </c>
      <c r="S75">
        <v>1.1728000000000001</v>
      </c>
      <c r="U75">
        <v>2000</v>
      </c>
      <c r="V75">
        <f t="shared" ref="V75:V85" si="10">AVERAGE(B75:S75)+0.5</f>
        <v>1.3495333333333335</v>
      </c>
      <c r="X75">
        <f t="shared" si="9"/>
        <v>10.815784284662087</v>
      </c>
      <c r="Y75">
        <v>-1.0370000000000001E-2</v>
      </c>
      <c r="Z75">
        <v>7</v>
      </c>
    </row>
    <row r="76" spans="1:26">
      <c r="A76">
        <v>3000</v>
      </c>
      <c r="B76">
        <v>0.45290000000000002</v>
      </c>
      <c r="C76">
        <v>0.26550000000000001</v>
      </c>
      <c r="D76">
        <v>1.0058</v>
      </c>
      <c r="E76">
        <v>0.64649999999999996</v>
      </c>
      <c r="F76">
        <v>0.58140000000000003</v>
      </c>
      <c r="G76">
        <v>0.53639999999999999</v>
      </c>
      <c r="H76">
        <v>0.9909</v>
      </c>
      <c r="I76">
        <v>0.92249999999999999</v>
      </c>
      <c r="J76">
        <v>0.51290000000000002</v>
      </c>
      <c r="K76">
        <v>1.1706000000000001</v>
      </c>
      <c r="L76">
        <v>1.2176</v>
      </c>
      <c r="M76">
        <v>0.61360000000000003</v>
      </c>
      <c r="N76">
        <v>1.0891999999999999</v>
      </c>
      <c r="O76">
        <v>1.117</v>
      </c>
      <c r="P76">
        <v>0.85470000000000002</v>
      </c>
      <c r="Q76">
        <v>1.2747999999999999</v>
      </c>
      <c r="R76">
        <v>0.49619999999999997</v>
      </c>
      <c r="S76">
        <v>0.66759999999999997</v>
      </c>
      <c r="U76">
        <v>3000</v>
      </c>
      <c r="V76">
        <f>AVERAGE(B76:S76)-0.1</f>
        <v>0.7008944444444446</v>
      </c>
      <c r="X76">
        <f t="shared" si="9"/>
        <v>11.400746785383243</v>
      </c>
      <c r="Y76">
        <v>8.0259999999999998E-2</v>
      </c>
      <c r="Z76">
        <v>8</v>
      </c>
    </row>
    <row r="77" spans="1:26">
      <c r="A77">
        <v>5000</v>
      </c>
      <c r="B77">
        <v>0.73519999999999996</v>
      </c>
      <c r="C77">
        <v>0.67920000000000003</v>
      </c>
      <c r="D77">
        <v>0.91379999999999995</v>
      </c>
      <c r="E77">
        <v>0.32819999999999999</v>
      </c>
      <c r="F77">
        <v>0.38100000000000001</v>
      </c>
      <c r="G77">
        <v>0.73670000000000002</v>
      </c>
      <c r="H77">
        <v>1.1195999999999999</v>
      </c>
      <c r="I77">
        <v>0.878</v>
      </c>
      <c r="J77">
        <v>1.0878000000000001</v>
      </c>
      <c r="K77">
        <v>1.2742</v>
      </c>
      <c r="L77">
        <v>1.2527999999999999</v>
      </c>
      <c r="M77">
        <v>0.65380000000000005</v>
      </c>
      <c r="N77">
        <v>0.62939999999999996</v>
      </c>
      <c r="O77">
        <v>0.88480000000000003</v>
      </c>
      <c r="P77">
        <v>0.98350000000000004</v>
      </c>
      <c r="Q77">
        <v>0.75990000000000002</v>
      </c>
      <c r="R77">
        <v>0.88029999999999997</v>
      </c>
      <c r="S77">
        <v>1.3009999999999999</v>
      </c>
      <c r="U77">
        <v>5000</v>
      </c>
      <c r="V77">
        <f t="shared" si="10"/>
        <v>1.3599555555555556</v>
      </c>
      <c r="X77">
        <f t="shared" si="9"/>
        <v>12.13771237954945</v>
      </c>
      <c r="Y77">
        <v>0.16989000000000001</v>
      </c>
      <c r="Z77">
        <v>9</v>
      </c>
    </row>
    <row r="78" spans="1:26">
      <c r="A78">
        <v>10000</v>
      </c>
      <c r="B78">
        <v>0.95179999999999998</v>
      </c>
      <c r="C78">
        <v>1.0137</v>
      </c>
      <c r="D78">
        <v>0.47560000000000002</v>
      </c>
      <c r="E78">
        <v>1.0406</v>
      </c>
      <c r="F78">
        <v>1.1073</v>
      </c>
      <c r="G78">
        <v>0.54679999999999995</v>
      </c>
      <c r="H78">
        <v>0.91359999999999997</v>
      </c>
      <c r="I78">
        <v>0.47210000000000002</v>
      </c>
      <c r="J78">
        <v>0.70530000000000004</v>
      </c>
      <c r="K78">
        <v>0.96130000000000004</v>
      </c>
      <c r="L78">
        <v>1.2417</v>
      </c>
      <c r="M78">
        <v>0.76259999999999994</v>
      </c>
      <c r="N78">
        <v>0.76470000000000005</v>
      </c>
      <c r="O78">
        <v>0.93579999999999997</v>
      </c>
      <c r="P78">
        <v>0.64770000000000005</v>
      </c>
      <c r="Q78">
        <v>1.0588</v>
      </c>
      <c r="R78">
        <v>0.49209999999999998</v>
      </c>
      <c r="S78">
        <v>0.71699999999999997</v>
      </c>
      <c r="U78">
        <v>10000</v>
      </c>
      <c r="V78">
        <f t="shared" si="10"/>
        <v>1.3226944444444446</v>
      </c>
      <c r="X78">
        <f t="shared" si="9"/>
        <v>13.13771237954945</v>
      </c>
      <c r="Y78">
        <v>0.26851999999999998</v>
      </c>
      <c r="Z78">
        <v>10</v>
      </c>
    </row>
    <row r="79" spans="1:26">
      <c r="A79">
        <v>25000</v>
      </c>
      <c r="B79">
        <v>1.2324999999999999</v>
      </c>
      <c r="C79">
        <v>0.54830000000000001</v>
      </c>
      <c r="D79">
        <v>0.77100000000000002</v>
      </c>
      <c r="E79">
        <v>1.1493</v>
      </c>
      <c r="F79">
        <v>1.1099000000000001</v>
      </c>
      <c r="G79">
        <v>0.63160000000000005</v>
      </c>
      <c r="H79">
        <v>0.71009999999999995</v>
      </c>
      <c r="I79">
        <v>0.48509999999999998</v>
      </c>
      <c r="J79">
        <v>1.1293</v>
      </c>
      <c r="K79">
        <v>0.46949999999999997</v>
      </c>
      <c r="L79">
        <v>1.056</v>
      </c>
      <c r="M79">
        <v>1.2491000000000001</v>
      </c>
      <c r="N79">
        <v>1.2254</v>
      </c>
      <c r="O79">
        <v>0.69010000000000005</v>
      </c>
      <c r="P79">
        <v>1.1019000000000001</v>
      </c>
      <c r="Q79">
        <v>1.0370999999999999</v>
      </c>
      <c r="R79">
        <v>0.59499999999999997</v>
      </c>
      <c r="S79">
        <v>0.63980000000000004</v>
      </c>
      <c r="U79">
        <v>25000</v>
      </c>
      <c r="V79">
        <f t="shared" si="10"/>
        <v>1.3795000000000002</v>
      </c>
      <c r="X79">
        <f t="shared" si="9"/>
        <v>14.459640474436812</v>
      </c>
      <c r="Y79">
        <v>0.36814999999999998</v>
      </c>
    </row>
    <row r="80" spans="1:26">
      <c r="A80">
        <v>50000</v>
      </c>
      <c r="B80">
        <v>0.5675</v>
      </c>
      <c r="C80">
        <v>0.97560000000000002</v>
      </c>
      <c r="D80">
        <v>0.49969999999999998</v>
      </c>
      <c r="E80">
        <v>1.4631000000000001</v>
      </c>
      <c r="F80">
        <v>1.0035000000000001</v>
      </c>
      <c r="G80">
        <v>0.93810000000000004</v>
      </c>
      <c r="H80">
        <v>0.63970000000000005</v>
      </c>
      <c r="I80">
        <v>0.6018</v>
      </c>
      <c r="J80">
        <v>1.2936000000000001</v>
      </c>
      <c r="K80">
        <v>0.86229999999999996</v>
      </c>
      <c r="L80">
        <v>0.97370000000000001</v>
      </c>
      <c r="M80">
        <v>0.56289999999999996</v>
      </c>
      <c r="N80">
        <v>1.347</v>
      </c>
      <c r="O80">
        <v>1.0843</v>
      </c>
      <c r="P80">
        <v>0.69089999999999996</v>
      </c>
      <c r="Q80">
        <v>0.89949999999999997</v>
      </c>
      <c r="R80">
        <v>0.97860000000000003</v>
      </c>
      <c r="S80">
        <v>0.49320000000000003</v>
      </c>
      <c r="U80">
        <v>50000</v>
      </c>
      <c r="V80">
        <f t="shared" si="10"/>
        <v>1.3819444444444442</v>
      </c>
      <c r="X80">
        <f t="shared" si="9"/>
        <v>15.459640474436812</v>
      </c>
      <c r="Y80">
        <v>0.46278000000000002</v>
      </c>
    </row>
    <row r="81" spans="1:25">
      <c r="A81">
        <v>100000</v>
      </c>
      <c r="B81">
        <v>0.94720000000000004</v>
      </c>
      <c r="C81">
        <v>0.65839999999999999</v>
      </c>
      <c r="D81">
        <v>1.3422000000000001</v>
      </c>
      <c r="E81">
        <v>0.75790000000000002</v>
      </c>
      <c r="F81">
        <v>0.5444</v>
      </c>
      <c r="G81">
        <v>1.2981</v>
      </c>
      <c r="H81">
        <v>1.1721999999999999</v>
      </c>
      <c r="I81">
        <v>1.2751999999999999</v>
      </c>
      <c r="J81">
        <v>1.2119</v>
      </c>
      <c r="K81">
        <v>1.1463000000000001</v>
      </c>
      <c r="L81">
        <v>0.85260000000000002</v>
      </c>
      <c r="M81">
        <v>0.5514</v>
      </c>
      <c r="N81">
        <v>0.66320000000000001</v>
      </c>
      <c r="O81">
        <v>1.4252</v>
      </c>
      <c r="P81">
        <v>0.78490000000000004</v>
      </c>
      <c r="Q81">
        <v>0.89139999999999997</v>
      </c>
      <c r="R81">
        <v>0.59040000000000004</v>
      </c>
      <c r="S81">
        <v>0.90629999999999999</v>
      </c>
      <c r="U81">
        <v>100000</v>
      </c>
      <c r="V81">
        <f t="shared" si="10"/>
        <v>1.4455111111111112</v>
      </c>
      <c r="X81">
        <f t="shared" si="9"/>
        <v>16.459640474436814</v>
      </c>
      <c r="Y81">
        <v>0.55740999999999996</v>
      </c>
    </row>
    <row r="82" spans="1:25">
      <c r="A82">
        <v>150000</v>
      </c>
      <c r="B82">
        <v>0.81210000000000004</v>
      </c>
      <c r="C82">
        <v>1.2837000000000001</v>
      </c>
      <c r="D82">
        <v>1.3664000000000001</v>
      </c>
      <c r="E82">
        <v>0.93059999999999998</v>
      </c>
      <c r="F82">
        <v>1.0169999999999999</v>
      </c>
      <c r="G82">
        <v>0.68840000000000001</v>
      </c>
      <c r="H82">
        <v>1.4874000000000001</v>
      </c>
      <c r="I82">
        <v>1.2588999999999999</v>
      </c>
      <c r="J82">
        <v>0.80249999999999999</v>
      </c>
      <c r="K82">
        <v>1.4813000000000001</v>
      </c>
      <c r="L82">
        <v>0.93159999999999998</v>
      </c>
      <c r="M82">
        <v>0.90839999999999999</v>
      </c>
      <c r="N82">
        <v>1.1105</v>
      </c>
      <c r="O82">
        <v>1.1214999999999999</v>
      </c>
      <c r="P82">
        <v>1.0228999999999999</v>
      </c>
      <c r="Q82">
        <v>1.0749</v>
      </c>
      <c r="R82">
        <v>1.6143000000000001</v>
      </c>
      <c r="S82">
        <v>1.1079000000000001</v>
      </c>
      <c r="U82">
        <v>150000</v>
      </c>
      <c r="V82">
        <f t="shared" si="10"/>
        <v>1.6122388888888888</v>
      </c>
      <c r="X82">
        <f t="shared" si="9"/>
        <v>17.044602975157968</v>
      </c>
      <c r="Y82">
        <v>0.65203999999999995</v>
      </c>
    </row>
    <row r="83" spans="1:25">
      <c r="A83">
        <v>200000</v>
      </c>
      <c r="B83">
        <v>1.2838000000000001</v>
      </c>
      <c r="C83">
        <v>1.2196</v>
      </c>
      <c r="D83">
        <v>1.0586</v>
      </c>
      <c r="E83">
        <v>1.4065000000000001</v>
      </c>
      <c r="F83">
        <v>1.284</v>
      </c>
      <c r="G83">
        <v>0.88280000000000003</v>
      </c>
      <c r="H83">
        <v>1.429</v>
      </c>
      <c r="I83">
        <v>1.2821</v>
      </c>
      <c r="J83">
        <v>0.80610000000000004</v>
      </c>
      <c r="K83">
        <v>1.5303</v>
      </c>
      <c r="L83">
        <v>1.2379</v>
      </c>
      <c r="M83">
        <v>1.3039000000000001</v>
      </c>
      <c r="N83">
        <v>0.72729999999999995</v>
      </c>
      <c r="O83">
        <v>1.2706</v>
      </c>
      <c r="P83">
        <v>0.96319999999999995</v>
      </c>
      <c r="Q83">
        <v>1.1597</v>
      </c>
      <c r="R83">
        <v>1.4315</v>
      </c>
      <c r="S83">
        <v>1.1388</v>
      </c>
      <c r="U83">
        <v>200000</v>
      </c>
      <c r="V83">
        <f t="shared" si="10"/>
        <v>1.6897611111111113</v>
      </c>
      <c r="X83">
        <f t="shared" si="9"/>
        <v>17.459640474436814</v>
      </c>
      <c r="Y83">
        <v>0.74666999999999994</v>
      </c>
    </row>
    <row r="84" spans="1:25">
      <c r="A84">
        <v>500000</v>
      </c>
      <c r="B84">
        <v>1.5363</v>
      </c>
      <c r="C84">
        <v>0.78039999999999998</v>
      </c>
      <c r="D84">
        <v>1.7154</v>
      </c>
      <c r="E84">
        <v>1.5325</v>
      </c>
      <c r="F84">
        <v>0.83230000000000004</v>
      </c>
      <c r="G84">
        <v>1.4948999999999999</v>
      </c>
      <c r="H84">
        <v>1.1780999999999999</v>
      </c>
      <c r="I84">
        <v>1.0025999999999999</v>
      </c>
      <c r="J84">
        <v>1.6934</v>
      </c>
      <c r="K84">
        <v>0.90820000000000001</v>
      </c>
      <c r="L84">
        <v>1.2733000000000001</v>
      </c>
      <c r="M84">
        <v>1.7338</v>
      </c>
      <c r="N84">
        <v>0.9425</v>
      </c>
      <c r="O84">
        <v>1.1763999999999999</v>
      </c>
      <c r="P84">
        <v>0.9677</v>
      </c>
      <c r="Q84">
        <v>1.4068000000000001</v>
      </c>
      <c r="R84">
        <v>1.4966999999999999</v>
      </c>
      <c r="S84">
        <v>1.5134000000000001</v>
      </c>
      <c r="U84">
        <v>500000</v>
      </c>
      <c r="V84">
        <f t="shared" si="10"/>
        <v>1.7880388888888892</v>
      </c>
      <c r="X84">
        <f t="shared" si="9"/>
        <v>18.781568569324175</v>
      </c>
      <c r="Y84">
        <v>0.84130000000000005</v>
      </c>
    </row>
    <row r="85" spans="1:25">
      <c r="A85">
        <v>1000000</v>
      </c>
      <c r="B85">
        <v>1.5646</v>
      </c>
      <c r="C85">
        <v>1.2217</v>
      </c>
      <c r="D85">
        <v>1.7041999999999999</v>
      </c>
      <c r="E85">
        <v>0.90680000000000005</v>
      </c>
      <c r="F85">
        <v>1.2279</v>
      </c>
      <c r="G85">
        <v>1.4162999999999999</v>
      </c>
      <c r="H85">
        <v>1.0262</v>
      </c>
      <c r="I85">
        <v>1.0718000000000001</v>
      </c>
      <c r="J85">
        <v>0.91569999999999996</v>
      </c>
      <c r="K85">
        <v>1.4024000000000001</v>
      </c>
      <c r="L85">
        <v>1.6992</v>
      </c>
      <c r="M85">
        <v>1.6943999999999999</v>
      </c>
      <c r="N85">
        <v>1.2466999999999999</v>
      </c>
      <c r="O85">
        <v>1.0230999999999999</v>
      </c>
      <c r="P85">
        <v>1.0509999999999999</v>
      </c>
      <c r="Q85">
        <v>1.7089000000000001</v>
      </c>
      <c r="R85">
        <v>0.95189999999999997</v>
      </c>
      <c r="S85">
        <v>1.9026000000000001</v>
      </c>
      <c r="U85">
        <v>1000000</v>
      </c>
      <c r="V85">
        <f t="shared" si="10"/>
        <v>1.8186333333333329</v>
      </c>
      <c r="X85">
        <f t="shared" si="9"/>
        <v>19.781568569324175</v>
      </c>
      <c r="Y85">
        <v>0.93593000000000004</v>
      </c>
    </row>
    <row r="86" spans="1:25">
      <c r="A86">
        <v>5000000</v>
      </c>
      <c r="B86">
        <v>1.7451000000000001</v>
      </c>
      <c r="C86">
        <v>2.0583999999999998</v>
      </c>
      <c r="D86">
        <v>1.4287000000000001</v>
      </c>
      <c r="E86">
        <v>1.4018999999999999</v>
      </c>
      <c r="F86">
        <v>2.3986000000000001</v>
      </c>
      <c r="G86">
        <v>1.8714</v>
      </c>
      <c r="H86">
        <v>2.2804000000000002</v>
      </c>
      <c r="I86">
        <v>2.1941000000000002</v>
      </c>
      <c r="J86">
        <v>1.8323</v>
      </c>
      <c r="K86">
        <v>1.7741</v>
      </c>
      <c r="L86">
        <v>1.8013999999999999</v>
      </c>
      <c r="M86">
        <v>1.5758000000000001</v>
      </c>
      <c r="N86">
        <v>1.958</v>
      </c>
      <c r="O86">
        <v>2.0118</v>
      </c>
      <c r="P86">
        <v>2.2334000000000001</v>
      </c>
      <c r="Q86">
        <v>1.7278</v>
      </c>
      <c r="R86">
        <v>1.5115000000000001</v>
      </c>
      <c r="S86">
        <v>1.8779999999999999</v>
      </c>
      <c r="U86">
        <v>5000000</v>
      </c>
      <c r="V86">
        <f>AVERAGE(B86:S86)+2</f>
        <v>3.871261111111111</v>
      </c>
      <c r="X86">
        <f t="shared" si="9"/>
        <v>22.103496664211541</v>
      </c>
      <c r="Y86">
        <v>1.13056</v>
      </c>
    </row>
    <row r="87" spans="1:25">
      <c r="A87">
        <v>10000000</v>
      </c>
      <c r="B87">
        <v>1.9398</v>
      </c>
      <c r="C87">
        <v>2.0468000000000002</v>
      </c>
      <c r="D87">
        <v>2.5133000000000001</v>
      </c>
      <c r="E87">
        <v>2.1591</v>
      </c>
      <c r="F87">
        <v>2.6537999999999999</v>
      </c>
      <c r="G87">
        <v>2.6391</v>
      </c>
      <c r="H87">
        <v>2.0823999999999998</v>
      </c>
      <c r="I87">
        <v>1.9157</v>
      </c>
      <c r="J87">
        <v>2.0124</v>
      </c>
      <c r="K87">
        <v>2.3191000000000002</v>
      </c>
      <c r="L87">
        <v>2.2751999999999999</v>
      </c>
      <c r="M87">
        <v>2.1389999999999998</v>
      </c>
      <c r="N87">
        <v>1.7591000000000001</v>
      </c>
      <c r="O87">
        <v>2.6240999999999999</v>
      </c>
      <c r="P87">
        <v>2.1305999999999998</v>
      </c>
      <c r="Q87">
        <v>1.9659</v>
      </c>
      <c r="R87">
        <v>2.3065000000000002</v>
      </c>
      <c r="S87">
        <v>1.7816000000000001</v>
      </c>
      <c r="U87">
        <v>10000000</v>
      </c>
      <c r="V87">
        <f>AVERAGE(B87:S87)+0.5</f>
        <v>2.6813055555555554</v>
      </c>
      <c r="X87">
        <f t="shared" si="9"/>
        <v>23.103496664211541</v>
      </c>
      <c r="Y87">
        <v>1.22519</v>
      </c>
    </row>
    <row r="89" spans="1:25">
      <c r="A89" t="s">
        <v>6</v>
      </c>
      <c r="U89" t="s">
        <v>6</v>
      </c>
      <c r="X89" t="s">
        <v>14</v>
      </c>
    </row>
    <row r="90" spans="1:25">
      <c r="A90" t="s">
        <v>0</v>
      </c>
      <c r="B90" t="s">
        <v>1</v>
      </c>
      <c r="U90" t="s">
        <v>0</v>
      </c>
      <c r="V90" t="s">
        <v>1</v>
      </c>
      <c r="X90" t="s">
        <v>8</v>
      </c>
      <c r="Y90" t="s">
        <v>15</v>
      </c>
    </row>
    <row r="91" spans="1:25">
      <c r="A91">
        <v>100</v>
      </c>
      <c r="B91">
        <v>0.25280000000000002</v>
      </c>
      <c r="C91">
        <v>0.21299999999999999</v>
      </c>
      <c r="D91">
        <v>0.7954</v>
      </c>
      <c r="E91">
        <v>0.43719999999999998</v>
      </c>
      <c r="F91">
        <v>0.87890000000000001</v>
      </c>
      <c r="G91">
        <v>0.18260000000000001</v>
      </c>
      <c r="H91">
        <v>0.91310000000000002</v>
      </c>
      <c r="I91">
        <v>1.0620000000000001</v>
      </c>
      <c r="J91">
        <v>0.88019999999999998</v>
      </c>
      <c r="K91">
        <v>1.1402000000000001</v>
      </c>
      <c r="L91">
        <v>0.99890000000000001</v>
      </c>
      <c r="M91">
        <v>0.56040000000000001</v>
      </c>
      <c r="N91">
        <v>0.59160000000000001</v>
      </c>
      <c r="O91">
        <v>0.28739999999999999</v>
      </c>
      <c r="P91">
        <v>0.91200000000000003</v>
      </c>
      <c r="Q91">
        <v>0.1883</v>
      </c>
      <c r="R91">
        <v>0.57010000000000005</v>
      </c>
      <c r="S91">
        <v>1.1927000000000001</v>
      </c>
      <c r="U91">
        <v>100</v>
      </c>
      <c r="V91">
        <f>AVERAGE(B91:S91)+0.2</f>
        <v>0.86982222222222227</v>
      </c>
      <c r="X91">
        <f>LOG(U91,2)-0.15</f>
        <v>6.4938561897747249</v>
      </c>
      <c r="Y91">
        <v>-0.57815000000000005</v>
      </c>
    </row>
    <row r="92" spans="1:25">
      <c r="A92">
        <v>200</v>
      </c>
      <c r="B92">
        <v>0.33979999999999999</v>
      </c>
      <c r="C92">
        <v>0.58260000000000001</v>
      </c>
      <c r="D92">
        <v>0.71730000000000005</v>
      </c>
      <c r="E92">
        <v>0.25409999999999999</v>
      </c>
      <c r="F92">
        <v>0.89</v>
      </c>
      <c r="G92">
        <v>1.3166</v>
      </c>
      <c r="H92">
        <v>0.94569999999999999</v>
      </c>
      <c r="I92">
        <v>1.0022</v>
      </c>
      <c r="J92">
        <v>1.0228999999999999</v>
      </c>
      <c r="K92">
        <v>0.78039999999999998</v>
      </c>
      <c r="L92">
        <v>0.7581</v>
      </c>
      <c r="M92">
        <v>1.2602</v>
      </c>
      <c r="N92">
        <v>0.17219999999999999</v>
      </c>
      <c r="O92">
        <v>0.57589999999999997</v>
      </c>
      <c r="P92">
        <v>0.81540000000000001</v>
      </c>
      <c r="Q92">
        <v>1.0803</v>
      </c>
      <c r="R92">
        <v>0.95979999999999999</v>
      </c>
      <c r="S92">
        <v>0.86029999999999995</v>
      </c>
      <c r="U92">
        <v>200</v>
      </c>
      <c r="V92">
        <f t="shared" ref="V92:V109" si="11">AVERAGE(B92:S92)</f>
        <v>0.79632222222222226</v>
      </c>
      <c r="X92">
        <f t="shared" ref="X92:X109" si="12">LOG(U92,2)-0.15</f>
        <v>7.493856189774724</v>
      </c>
      <c r="Y92">
        <v>-0.48352000000000001</v>
      </c>
    </row>
    <row r="93" spans="1:25">
      <c r="A93">
        <v>300</v>
      </c>
      <c r="B93">
        <v>0.86670000000000003</v>
      </c>
      <c r="C93">
        <v>0.61150000000000004</v>
      </c>
      <c r="D93">
        <v>1.1095999999999999</v>
      </c>
      <c r="E93">
        <v>0.18540000000000001</v>
      </c>
      <c r="F93">
        <v>1.0495000000000001</v>
      </c>
      <c r="G93">
        <v>0.68140000000000001</v>
      </c>
      <c r="H93">
        <v>0.54590000000000005</v>
      </c>
      <c r="I93">
        <v>0.66069999999999995</v>
      </c>
      <c r="J93">
        <v>0.46529999999999999</v>
      </c>
      <c r="K93">
        <v>0.99480000000000002</v>
      </c>
      <c r="L93">
        <v>0.38919999999999999</v>
      </c>
      <c r="M93">
        <v>1.1355</v>
      </c>
      <c r="N93">
        <v>0.57440000000000002</v>
      </c>
      <c r="O93">
        <v>1.1384000000000001</v>
      </c>
      <c r="P93">
        <v>0.82740000000000002</v>
      </c>
      <c r="Q93">
        <v>0.3397</v>
      </c>
      <c r="R93">
        <v>1.0941000000000001</v>
      </c>
      <c r="S93">
        <v>0.95220000000000005</v>
      </c>
      <c r="U93">
        <v>300</v>
      </c>
      <c r="V93">
        <f t="shared" si="11"/>
        <v>0.75676111111111122</v>
      </c>
      <c r="X93">
        <f t="shared" si="12"/>
        <v>8.078818690495881</v>
      </c>
      <c r="Y93">
        <v>-0.38889000000000001</v>
      </c>
    </row>
    <row r="94" spans="1:25">
      <c r="A94">
        <v>500</v>
      </c>
      <c r="B94">
        <v>1.1329</v>
      </c>
      <c r="C94">
        <v>0.2364</v>
      </c>
      <c r="D94">
        <v>1.2117</v>
      </c>
      <c r="E94">
        <v>1.0548</v>
      </c>
      <c r="F94">
        <v>1.1494</v>
      </c>
      <c r="G94">
        <v>0.83489999999999998</v>
      </c>
      <c r="H94">
        <v>0.87639999999999996</v>
      </c>
      <c r="I94">
        <v>1.1900999999999999</v>
      </c>
      <c r="J94">
        <v>0.29909999999999998</v>
      </c>
      <c r="K94">
        <v>0.36249999999999999</v>
      </c>
      <c r="L94">
        <v>0.85370000000000001</v>
      </c>
      <c r="M94">
        <v>0.32500000000000001</v>
      </c>
      <c r="N94">
        <v>1.0271999999999999</v>
      </c>
      <c r="O94">
        <v>1.0487</v>
      </c>
      <c r="P94">
        <v>0.4491</v>
      </c>
      <c r="Q94">
        <v>1.1872</v>
      </c>
      <c r="R94">
        <v>0.74260000000000004</v>
      </c>
      <c r="S94">
        <v>1.0435000000000001</v>
      </c>
      <c r="U94">
        <v>500</v>
      </c>
      <c r="V94">
        <f>AVERAGE(B94:S94)</f>
        <v>0.83473333333333333</v>
      </c>
      <c r="X94">
        <f t="shared" si="12"/>
        <v>8.8157842846620866</v>
      </c>
      <c r="Y94">
        <v>-0.29426000000000002</v>
      </c>
    </row>
    <row r="95" spans="1:25">
      <c r="A95">
        <v>1000</v>
      </c>
      <c r="B95">
        <v>1.2876000000000001</v>
      </c>
      <c r="C95">
        <v>0.3473</v>
      </c>
      <c r="D95">
        <v>1.2059</v>
      </c>
      <c r="E95">
        <v>0.85229999999999995</v>
      </c>
      <c r="F95">
        <v>0.73140000000000005</v>
      </c>
      <c r="G95">
        <v>0.39950000000000002</v>
      </c>
      <c r="H95">
        <v>1.1389</v>
      </c>
      <c r="I95">
        <v>0.97040000000000004</v>
      </c>
      <c r="J95">
        <v>0.75339999999999996</v>
      </c>
      <c r="K95">
        <v>1.0159</v>
      </c>
      <c r="L95">
        <v>1.1846000000000001</v>
      </c>
      <c r="M95">
        <v>1.1746000000000001</v>
      </c>
      <c r="N95">
        <v>1.1631</v>
      </c>
      <c r="O95">
        <v>0.68079999999999996</v>
      </c>
      <c r="P95">
        <v>0.41410000000000002</v>
      </c>
      <c r="Q95">
        <v>0.96499999999999997</v>
      </c>
      <c r="R95">
        <v>0.29780000000000001</v>
      </c>
      <c r="S95">
        <v>0.57930000000000004</v>
      </c>
      <c r="U95">
        <v>1000</v>
      </c>
      <c r="V95">
        <f t="shared" si="11"/>
        <v>0.84232777777777768</v>
      </c>
      <c r="X95">
        <f t="shared" si="12"/>
        <v>9.8157842846620866</v>
      </c>
      <c r="Y95">
        <v>-0.19963</v>
      </c>
    </row>
    <row r="96" spans="1:25">
      <c r="A96">
        <v>1500</v>
      </c>
      <c r="B96">
        <v>0.71150000000000002</v>
      </c>
      <c r="C96">
        <v>1.1941999999999999</v>
      </c>
      <c r="D96">
        <v>0.88890000000000002</v>
      </c>
      <c r="E96">
        <v>0.57199999999999995</v>
      </c>
      <c r="F96">
        <v>0.67459999999999998</v>
      </c>
      <c r="G96">
        <v>1.0696000000000001</v>
      </c>
      <c r="H96">
        <v>1.1847000000000001</v>
      </c>
      <c r="I96">
        <v>0.81540000000000001</v>
      </c>
      <c r="J96">
        <v>0.6452</v>
      </c>
      <c r="K96">
        <v>0.67679999999999996</v>
      </c>
      <c r="L96">
        <v>1.1347</v>
      </c>
      <c r="M96">
        <v>0.77780000000000005</v>
      </c>
      <c r="N96">
        <v>0.33019999999999999</v>
      </c>
      <c r="O96">
        <v>1.3012999999999999</v>
      </c>
      <c r="P96">
        <v>0.70409999999999995</v>
      </c>
      <c r="Q96">
        <v>0.3332</v>
      </c>
      <c r="R96">
        <v>0.63080000000000003</v>
      </c>
      <c r="S96">
        <v>1.2161999999999999</v>
      </c>
      <c r="U96">
        <v>1500</v>
      </c>
      <c r="V96">
        <f t="shared" si="11"/>
        <v>0.82562222222222237</v>
      </c>
      <c r="X96">
        <f t="shared" si="12"/>
        <v>10.400746785383243</v>
      </c>
      <c r="Y96">
        <v>-0.105</v>
      </c>
    </row>
    <row r="97" spans="1:25">
      <c r="A97">
        <v>2000</v>
      </c>
      <c r="B97">
        <v>1.2903</v>
      </c>
      <c r="C97">
        <v>0.77059999999999995</v>
      </c>
      <c r="D97">
        <v>0.84550000000000003</v>
      </c>
      <c r="E97">
        <v>1.2839</v>
      </c>
      <c r="F97">
        <v>1.0642</v>
      </c>
      <c r="G97">
        <v>0.45600000000000002</v>
      </c>
      <c r="H97">
        <v>1.149</v>
      </c>
      <c r="I97">
        <v>0.8337</v>
      </c>
      <c r="J97">
        <v>0.63980000000000004</v>
      </c>
      <c r="K97">
        <v>0.71530000000000005</v>
      </c>
      <c r="L97">
        <v>0.37730000000000002</v>
      </c>
      <c r="M97">
        <v>0.56859999999999999</v>
      </c>
      <c r="N97">
        <v>1.0652999999999999</v>
      </c>
      <c r="O97">
        <v>1.0750999999999999</v>
      </c>
      <c r="P97">
        <v>0.41610000000000003</v>
      </c>
      <c r="Q97">
        <v>0.72860000000000003</v>
      </c>
      <c r="R97">
        <v>0.83950000000000002</v>
      </c>
      <c r="S97">
        <v>1.1728000000000001</v>
      </c>
      <c r="U97">
        <v>2000</v>
      </c>
      <c r="V97">
        <f t="shared" si="11"/>
        <v>0.84953333333333347</v>
      </c>
      <c r="X97">
        <f t="shared" si="12"/>
        <v>10.815784284662087</v>
      </c>
      <c r="Y97">
        <v>-9.0370000000000006E-2</v>
      </c>
    </row>
    <row r="98" spans="1:25">
      <c r="A98">
        <v>3000</v>
      </c>
      <c r="B98">
        <v>0.45290000000000002</v>
      </c>
      <c r="C98">
        <v>0.26550000000000001</v>
      </c>
      <c r="D98">
        <v>1.0058</v>
      </c>
      <c r="E98">
        <v>0.64649999999999996</v>
      </c>
      <c r="F98">
        <v>0.58140000000000003</v>
      </c>
      <c r="G98">
        <v>0.53639999999999999</v>
      </c>
      <c r="H98">
        <v>0.9909</v>
      </c>
      <c r="I98">
        <v>0.92249999999999999</v>
      </c>
      <c r="J98">
        <v>0.51290000000000002</v>
      </c>
      <c r="K98">
        <v>1.1706000000000001</v>
      </c>
      <c r="L98">
        <v>1.2176</v>
      </c>
      <c r="M98">
        <v>0.61360000000000003</v>
      </c>
      <c r="N98">
        <v>1.0891999999999999</v>
      </c>
      <c r="O98">
        <v>1.117</v>
      </c>
      <c r="P98">
        <v>0.85470000000000002</v>
      </c>
      <c r="Q98">
        <v>1.2747999999999999</v>
      </c>
      <c r="R98">
        <v>0.49619999999999997</v>
      </c>
      <c r="S98">
        <v>0.66759999999999997</v>
      </c>
      <c r="U98">
        <v>3000</v>
      </c>
      <c r="V98">
        <f t="shared" si="11"/>
        <v>0.80089444444444458</v>
      </c>
      <c r="X98">
        <f t="shared" si="12"/>
        <v>11.400746785383243</v>
      </c>
      <c r="Y98">
        <v>5.4260000000000003E-2</v>
      </c>
    </row>
    <row r="99" spans="1:25">
      <c r="A99">
        <v>5000</v>
      </c>
      <c r="B99">
        <v>0.73519999999999996</v>
      </c>
      <c r="C99">
        <v>0.67920000000000003</v>
      </c>
      <c r="D99">
        <v>0.91379999999999995</v>
      </c>
      <c r="E99">
        <v>0.32819999999999999</v>
      </c>
      <c r="F99">
        <v>0.38100000000000001</v>
      </c>
      <c r="G99">
        <v>0.73670000000000002</v>
      </c>
      <c r="H99">
        <v>1.1195999999999999</v>
      </c>
      <c r="I99">
        <v>0.878</v>
      </c>
      <c r="J99">
        <v>1.0878000000000001</v>
      </c>
      <c r="K99">
        <v>1.2742</v>
      </c>
      <c r="L99">
        <v>1.2527999999999999</v>
      </c>
      <c r="M99">
        <v>0.65380000000000005</v>
      </c>
      <c r="N99">
        <v>0.62939999999999996</v>
      </c>
      <c r="O99">
        <v>0.88480000000000003</v>
      </c>
      <c r="P99">
        <v>0.98350000000000004</v>
      </c>
      <c r="Q99">
        <v>0.75990000000000002</v>
      </c>
      <c r="R99">
        <v>0.88029999999999997</v>
      </c>
      <c r="S99">
        <v>1.3009999999999999</v>
      </c>
      <c r="U99">
        <v>5000</v>
      </c>
      <c r="V99">
        <f t="shared" si="11"/>
        <v>0.8599555555555557</v>
      </c>
      <c r="X99">
        <f t="shared" si="12"/>
        <v>12.13771237954945</v>
      </c>
      <c r="Y99">
        <v>0.11889</v>
      </c>
    </row>
    <row r="100" spans="1:25">
      <c r="A100">
        <v>10000</v>
      </c>
      <c r="B100">
        <v>0.95179999999999998</v>
      </c>
      <c r="C100">
        <v>1.0137</v>
      </c>
      <c r="D100">
        <v>0.47560000000000002</v>
      </c>
      <c r="E100">
        <v>1.0406</v>
      </c>
      <c r="F100">
        <v>1.1073</v>
      </c>
      <c r="G100">
        <v>0.54679999999999995</v>
      </c>
      <c r="H100">
        <v>0.91359999999999997</v>
      </c>
      <c r="I100">
        <v>0.47210000000000002</v>
      </c>
      <c r="J100">
        <v>0.70530000000000004</v>
      </c>
      <c r="K100">
        <v>0.96130000000000004</v>
      </c>
      <c r="L100">
        <v>1.2417</v>
      </c>
      <c r="M100">
        <v>0.76259999999999994</v>
      </c>
      <c r="N100">
        <v>0.76470000000000005</v>
      </c>
      <c r="O100">
        <v>0.93579999999999997</v>
      </c>
      <c r="P100">
        <v>0.64770000000000005</v>
      </c>
      <c r="Q100">
        <v>1.0588</v>
      </c>
      <c r="R100">
        <v>0.49209999999999998</v>
      </c>
      <c r="S100">
        <v>0.71699999999999997</v>
      </c>
      <c r="U100">
        <v>10000</v>
      </c>
      <c r="V100">
        <f t="shared" si="11"/>
        <v>0.82269444444444451</v>
      </c>
      <c r="X100">
        <f t="shared" si="12"/>
        <v>13.13771237954945</v>
      </c>
      <c r="Y100">
        <v>0.22352</v>
      </c>
    </row>
    <row r="101" spans="1:25">
      <c r="A101">
        <v>25000</v>
      </c>
      <c r="B101">
        <v>1.2324999999999999</v>
      </c>
      <c r="C101">
        <v>0.54830000000000001</v>
      </c>
      <c r="D101">
        <v>0.77100000000000002</v>
      </c>
      <c r="E101">
        <v>1.1493</v>
      </c>
      <c r="F101">
        <v>1.1099000000000001</v>
      </c>
      <c r="G101">
        <v>0.63160000000000005</v>
      </c>
      <c r="H101">
        <v>0.71009999999999995</v>
      </c>
      <c r="I101">
        <v>0.48509999999999998</v>
      </c>
      <c r="J101">
        <v>1.1293</v>
      </c>
      <c r="K101">
        <v>0.46949999999999997</v>
      </c>
      <c r="L101">
        <v>1.056</v>
      </c>
      <c r="M101">
        <v>1.2491000000000001</v>
      </c>
      <c r="N101">
        <v>1.2254</v>
      </c>
      <c r="O101">
        <v>0.69010000000000005</v>
      </c>
      <c r="P101">
        <v>1.1019000000000001</v>
      </c>
      <c r="Q101">
        <v>1.0370999999999999</v>
      </c>
      <c r="R101">
        <v>0.59499999999999997</v>
      </c>
      <c r="S101">
        <v>0.63980000000000004</v>
      </c>
      <c r="U101">
        <v>25000</v>
      </c>
      <c r="V101">
        <f t="shared" si="11"/>
        <v>0.87950000000000006</v>
      </c>
      <c r="X101">
        <f t="shared" si="12"/>
        <v>14.459640474436812</v>
      </c>
      <c r="Y101">
        <v>0.34815000000000002</v>
      </c>
    </row>
    <row r="102" spans="1:25">
      <c r="A102">
        <v>50000</v>
      </c>
      <c r="B102">
        <v>0.5675</v>
      </c>
      <c r="C102">
        <v>0.97560000000000002</v>
      </c>
      <c r="D102">
        <v>0.49969999999999998</v>
      </c>
      <c r="E102">
        <v>1.4631000000000001</v>
      </c>
      <c r="F102">
        <v>1.0035000000000001</v>
      </c>
      <c r="G102">
        <v>0.93810000000000004</v>
      </c>
      <c r="H102">
        <v>0.63970000000000005</v>
      </c>
      <c r="I102">
        <v>0.6018</v>
      </c>
      <c r="J102">
        <v>1.2936000000000001</v>
      </c>
      <c r="K102">
        <v>0.86229999999999996</v>
      </c>
      <c r="L102">
        <v>0.97370000000000001</v>
      </c>
      <c r="M102">
        <v>0.56289999999999996</v>
      </c>
      <c r="N102">
        <v>1.347</v>
      </c>
      <c r="O102">
        <v>1.0843</v>
      </c>
      <c r="P102">
        <v>0.69089999999999996</v>
      </c>
      <c r="Q102">
        <v>0.89949999999999997</v>
      </c>
      <c r="R102">
        <v>0.97860000000000003</v>
      </c>
      <c r="S102">
        <v>0.49320000000000003</v>
      </c>
      <c r="U102">
        <v>50000</v>
      </c>
      <c r="V102">
        <f t="shared" si="11"/>
        <v>0.88194444444444431</v>
      </c>
      <c r="X102">
        <f t="shared" si="12"/>
        <v>15.459640474436812</v>
      </c>
      <c r="Y102">
        <v>0.46278000000000002</v>
      </c>
    </row>
    <row r="103" spans="1:25">
      <c r="A103">
        <v>100000</v>
      </c>
      <c r="B103">
        <v>0.94720000000000004</v>
      </c>
      <c r="C103">
        <v>0.65839999999999999</v>
      </c>
      <c r="D103">
        <v>1.3422000000000001</v>
      </c>
      <c r="E103">
        <v>0.75790000000000002</v>
      </c>
      <c r="F103">
        <v>0.5444</v>
      </c>
      <c r="G103">
        <v>1.2981</v>
      </c>
      <c r="H103">
        <v>1.1721999999999999</v>
      </c>
      <c r="I103">
        <v>1.2751999999999999</v>
      </c>
      <c r="J103">
        <v>1.2119</v>
      </c>
      <c r="K103">
        <v>1.1463000000000001</v>
      </c>
      <c r="L103">
        <v>0.85260000000000002</v>
      </c>
      <c r="M103">
        <v>0.5514</v>
      </c>
      <c r="N103">
        <v>0.66320000000000001</v>
      </c>
      <c r="O103">
        <v>1.4252</v>
      </c>
      <c r="P103">
        <v>0.78490000000000004</v>
      </c>
      <c r="Q103">
        <v>0.89139999999999997</v>
      </c>
      <c r="R103">
        <v>0.59040000000000004</v>
      </c>
      <c r="S103">
        <v>0.90629999999999999</v>
      </c>
      <c r="U103">
        <v>100000</v>
      </c>
      <c r="V103">
        <f t="shared" si="11"/>
        <v>0.94551111111111119</v>
      </c>
      <c r="X103">
        <f t="shared" si="12"/>
        <v>16.459640474436814</v>
      </c>
      <c r="Y103">
        <v>0.55740999999999996</v>
      </c>
    </row>
    <row r="104" spans="1:25">
      <c r="A104">
        <v>150000</v>
      </c>
      <c r="B104">
        <v>0.81210000000000004</v>
      </c>
      <c r="C104">
        <v>1.2837000000000001</v>
      </c>
      <c r="D104">
        <v>1.3664000000000001</v>
      </c>
      <c r="E104">
        <v>0.93059999999999998</v>
      </c>
      <c r="F104">
        <v>1.0169999999999999</v>
      </c>
      <c r="G104">
        <v>0.68840000000000001</v>
      </c>
      <c r="H104">
        <v>1.4874000000000001</v>
      </c>
      <c r="I104">
        <v>1.2588999999999999</v>
      </c>
      <c r="J104">
        <v>0.80249999999999999</v>
      </c>
      <c r="K104">
        <v>1.4813000000000001</v>
      </c>
      <c r="L104">
        <v>0.93159999999999998</v>
      </c>
      <c r="M104">
        <v>0.90839999999999999</v>
      </c>
      <c r="N104">
        <v>1.1105</v>
      </c>
      <c r="O104">
        <v>1.1214999999999999</v>
      </c>
      <c r="P104">
        <v>1.0228999999999999</v>
      </c>
      <c r="Q104">
        <v>1.0749</v>
      </c>
      <c r="R104">
        <v>1.6143000000000001</v>
      </c>
      <c r="S104">
        <v>1.1079000000000001</v>
      </c>
      <c r="U104">
        <v>150000</v>
      </c>
      <c r="V104">
        <f t="shared" si="11"/>
        <v>1.1122388888888888</v>
      </c>
      <c r="X104">
        <f t="shared" si="12"/>
        <v>17.044602975157968</v>
      </c>
      <c r="Y104">
        <v>0.65203999999999995</v>
      </c>
    </row>
    <row r="105" spans="1:25">
      <c r="A105">
        <v>200000</v>
      </c>
      <c r="B105">
        <v>1.2838000000000001</v>
      </c>
      <c r="C105">
        <v>1.2196</v>
      </c>
      <c r="D105">
        <v>1.0586</v>
      </c>
      <c r="E105">
        <v>1.4065000000000001</v>
      </c>
      <c r="F105">
        <v>1.284</v>
      </c>
      <c r="G105">
        <v>0.88280000000000003</v>
      </c>
      <c r="H105">
        <v>1.429</v>
      </c>
      <c r="I105">
        <v>1.2821</v>
      </c>
      <c r="J105">
        <v>0.80610000000000004</v>
      </c>
      <c r="K105">
        <v>1.5303</v>
      </c>
      <c r="L105">
        <v>1.2379</v>
      </c>
      <c r="M105">
        <v>1.3039000000000001</v>
      </c>
      <c r="N105">
        <v>0.72729999999999995</v>
      </c>
      <c r="O105">
        <v>1.2706</v>
      </c>
      <c r="P105">
        <v>0.96319999999999995</v>
      </c>
      <c r="Q105">
        <v>1.1597</v>
      </c>
      <c r="R105">
        <v>1.4315</v>
      </c>
      <c r="S105">
        <v>1.1388</v>
      </c>
      <c r="U105">
        <v>200000</v>
      </c>
      <c r="V105">
        <f t="shared" si="11"/>
        <v>1.1897611111111113</v>
      </c>
      <c r="X105">
        <f t="shared" si="12"/>
        <v>17.459640474436814</v>
      </c>
      <c r="Y105">
        <v>0.70667000000000002</v>
      </c>
    </row>
    <row r="106" spans="1:25">
      <c r="A106">
        <v>500000</v>
      </c>
      <c r="B106">
        <v>1.5363</v>
      </c>
      <c r="C106">
        <v>0.78039999999999998</v>
      </c>
      <c r="D106">
        <v>1.7154</v>
      </c>
      <c r="E106">
        <v>1.5325</v>
      </c>
      <c r="F106">
        <v>0.83230000000000004</v>
      </c>
      <c r="G106">
        <v>1.4948999999999999</v>
      </c>
      <c r="H106">
        <v>1.1780999999999999</v>
      </c>
      <c r="I106">
        <v>1.0025999999999999</v>
      </c>
      <c r="J106">
        <v>1.6934</v>
      </c>
      <c r="K106">
        <v>0.90820000000000001</v>
      </c>
      <c r="L106">
        <v>1.2733000000000001</v>
      </c>
      <c r="M106">
        <v>1.7338</v>
      </c>
      <c r="N106">
        <v>0.9425</v>
      </c>
      <c r="O106">
        <v>1.1763999999999999</v>
      </c>
      <c r="P106">
        <v>0.9677</v>
      </c>
      <c r="Q106">
        <v>1.4068000000000001</v>
      </c>
      <c r="R106">
        <v>1.4966999999999999</v>
      </c>
      <c r="S106">
        <v>1.5134000000000001</v>
      </c>
      <c r="U106">
        <v>500000</v>
      </c>
      <c r="V106">
        <f t="shared" si="11"/>
        <v>1.2880388888888892</v>
      </c>
      <c r="X106">
        <f t="shared" si="12"/>
        <v>18.781568569324175</v>
      </c>
      <c r="Y106">
        <v>0.7913</v>
      </c>
    </row>
    <row r="107" spans="1:25">
      <c r="A107">
        <v>1000000</v>
      </c>
      <c r="B107">
        <v>1.5646</v>
      </c>
      <c r="C107">
        <v>1.2217</v>
      </c>
      <c r="D107">
        <v>1.7041999999999999</v>
      </c>
      <c r="E107">
        <v>0.90680000000000005</v>
      </c>
      <c r="F107">
        <v>1.2279</v>
      </c>
      <c r="G107">
        <v>1.4162999999999999</v>
      </c>
      <c r="H107">
        <v>1.0262</v>
      </c>
      <c r="I107">
        <v>1.0718000000000001</v>
      </c>
      <c r="J107">
        <v>0.91569999999999996</v>
      </c>
      <c r="K107">
        <v>1.4024000000000001</v>
      </c>
      <c r="L107">
        <v>1.6992</v>
      </c>
      <c r="M107">
        <v>1.6943999999999999</v>
      </c>
      <c r="N107">
        <v>1.2466999999999999</v>
      </c>
      <c r="O107">
        <v>1.0230999999999999</v>
      </c>
      <c r="P107">
        <v>1.0509999999999999</v>
      </c>
      <c r="Q107">
        <v>1.7089000000000001</v>
      </c>
      <c r="R107">
        <v>0.95189999999999997</v>
      </c>
      <c r="S107">
        <v>1.9026000000000001</v>
      </c>
      <c r="U107">
        <v>1000000</v>
      </c>
      <c r="V107">
        <f t="shared" si="11"/>
        <v>1.3186333333333329</v>
      </c>
      <c r="X107">
        <f t="shared" si="12"/>
        <v>19.781568569324175</v>
      </c>
      <c r="Y107">
        <v>0.89593</v>
      </c>
    </row>
    <row r="108" spans="1:25">
      <c r="A108">
        <v>5000000</v>
      </c>
      <c r="B108">
        <v>1.7451000000000001</v>
      </c>
      <c r="C108">
        <v>2.0583999999999998</v>
      </c>
      <c r="D108">
        <v>1.4287000000000001</v>
      </c>
      <c r="E108">
        <v>1.4018999999999999</v>
      </c>
      <c r="F108">
        <v>2.3986000000000001</v>
      </c>
      <c r="G108">
        <v>1.8714</v>
      </c>
      <c r="H108">
        <v>2.2804000000000002</v>
      </c>
      <c r="I108">
        <v>2.1941000000000002</v>
      </c>
      <c r="J108">
        <v>1.8323</v>
      </c>
      <c r="K108">
        <v>1.7741</v>
      </c>
      <c r="L108">
        <v>1.8013999999999999</v>
      </c>
      <c r="M108">
        <v>1.5758000000000001</v>
      </c>
      <c r="N108">
        <v>1.958</v>
      </c>
      <c r="O108">
        <v>2.0118</v>
      </c>
      <c r="P108">
        <v>2.2334000000000001</v>
      </c>
      <c r="Q108">
        <v>1.7278</v>
      </c>
      <c r="R108">
        <v>1.5115000000000001</v>
      </c>
      <c r="S108">
        <v>1.8779999999999999</v>
      </c>
      <c r="U108">
        <v>5000000</v>
      </c>
      <c r="V108">
        <f t="shared" si="11"/>
        <v>1.8712611111111113</v>
      </c>
      <c r="X108">
        <f t="shared" si="12"/>
        <v>22.103496664211541</v>
      </c>
      <c r="Y108">
        <v>1.0305599999999999</v>
      </c>
    </row>
    <row r="109" spans="1:25">
      <c r="A109">
        <v>10000000</v>
      </c>
      <c r="B109">
        <v>1.9398</v>
      </c>
      <c r="C109">
        <v>2.0468000000000002</v>
      </c>
      <c r="D109">
        <v>2.5133000000000001</v>
      </c>
      <c r="E109">
        <v>2.1591</v>
      </c>
      <c r="F109">
        <v>2.6537999999999999</v>
      </c>
      <c r="G109">
        <v>2.6391</v>
      </c>
      <c r="H109">
        <v>2.0823999999999998</v>
      </c>
      <c r="I109">
        <v>1.9157</v>
      </c>
      <c r="J109">
        <v>2.0124</v>
      </c>
      <c r="K109">
        <v>2.3191000000000002</v>
      </c>
      <c r="L109">
        <v>2.2751999999999999</v>
      </c>
      <c r="M109">
        <v>2.1389999999999998</v>
      </c>
      <c r="N109">
        <v>1.7591000000000001</v>
      </c>
      <c r="O109">
        <v>2.6240999999999999</v>
      </c>
      <c r="P109">
        <v>2.1305999999999998</v>
      </c>
      <c r="Q109">
        <v>1.9659</v>
      </c>
      <c r="R109">
        <v>2.3065000000000002</v>
      </c>
      <c r="S109">
        <v>1.7816000000000001</v>
      </c>
      <c r="U109">
        <v>10000000</v>
      </c>
      <c r="V109">
        <f t="shared" si="11"/>
        <v>2.1813055555555554</v>
      </c>
      <c r="X109">
        <f t="shared" si="12"/>
        <v>23.103496664211541</v>
      </c>
      <c r="Y109">
        <v>1.1251899999999999</v>
      </c>
    </row>
  </sheetData>
  <phoneticPr fontId="2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SeungYup Yum</dc:creator>
  <cp:lastModifiedBy>Jung_Woo Hur</cp:lastModifiedBy>
  <dcterms:created xsi:type="dcterms:W3CDTF">2024-11-12T20:14:08Z</dcterms:created>
  <dcterms:modified xsi:type="dcterms:W3CDTF">2024-11-20T08:41:05Z</dcterms:modified>
</cp:coreProperties>
</file>